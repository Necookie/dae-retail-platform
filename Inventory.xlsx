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eyn\OneDrive\문서\Dae Artesania\"/>
    </mc:Choice>
  </mc:AlternateContent>
  <xr:revisionPtr revIDLastSave="0" documentId="13_ncr:1_{095E198A-14BA-44BA-93EF-6578D5656B22}" xr6:coauthVersionLast="47" xr6:coauthVersionMax="47" xr10:uidLastSave="{00000000-0000-0000-0000-000000000000}"/>
  <bookViews>
    <workbookView xWindow="-108" yWindow="-108" windowWidth="23256" windowHeight="12456" xr2:uid="{24EAA4C1-4B17-4454-85DF-0AF4070A613D}"/>
  </bookViews>
  <sheets>
    <sheet name="BouQuet Costing" sheetId="1" r:id="rId1"/>
    <sheet name="Sales Report" sheetId="4" r:id="rId2"/>
    <sheet name="Inventor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6" i="4" l="1"/>
  <c r="K33" i="2"/>
  <c r="K28" i="2"/>
  <c r="F36" i="2"/>
  <c r="G36" i="2" s="1"/>
  <c r="F34" i="2"/>
  <c r="G34" i="2" s="1"/>
  <c r="G7" i="2"/>
  <c r="G21" i="2"/>
  <c r="G23" i="2"/>
  <c r="G30" i="2"/>
  <c r="F32" i="2"/>
  <c r="G32" i="2" s="1"/>
  <c r="F35" i="2"/>
  <c r="G35" i="2" s="1"/>
  <c r="O2" i="4"/>
  <c r="F29" i="2"/>
  <c r="G29" i="2" s="1"/>
  <c r="F33" i="2"/>
  <c r="G33" i="2" s="1"/>
  <c r="F31" i="2"/>
  <c r="G31" i="2" s="1"/>
  <c r="S22" i="4"/>
  <c r="O9" i="4"/>
  <c r="O10" i="4"/>
  <c r="O11" i="4"/>
  <c r="O12" i="4"/>
  <c r="M11" i="4"/>
  <c r="V19" i="4"/>
  <c r="V20" i="4" s="1"/>
  <c r="V21" i="4" s="1"/>
  <c r="V18" i="4"/>
  <c r="S8" i="4"/>
  <c r="S12" i="4" s="1"/>
  <c r="S13" i="4" s="1"/>
  <c r="S10" i="4"/>
  <c r="S11" i="4"/>
  <c r="F28" i="2"/>
  <c r="G28" i="2" s="1"/>
  <c r="M27" i="4"/>
  <c r="F2" i="2"/>
  <c r="G2" i="2" s="1"/>
  <c r="F3" i="2"/>
  <c r="G3" i="2" s="1"/>
  <c r="F4" i="2"/>
  <c r="G4" i="2" s="1"/>
  <c r="F5" i="2"/>
  <c r="G5" i="2" s="1"/>
  <c r="F6" i="2"/>
  <c r="G6" i="2" s="1"/>
  <c r="F7" i="2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F22" i="2"/>
  <c r="G22" i="2" s="1"/>
  <c r="F23" i="2"/>
  <c r="F24" i="2"/>
  <c r="G24" i="2" s="1"/>
  <c r="F25" i="2"/>
  <c r="G25" i="2" s="1"/>
  <c r="F26" i="2"/>
  <c r="G26" i="2" s="1"/>
  <c r="F27" i="2"/>
  <c r="G27" i="2" s="1"/>
  <c r="J4" i="1"/>
  <c r="J5" i="1"/>
  <c r="J6" i="1"/>
  <c r="J7" i="1"/>
  <c r="J8" i="1"/>
  <c r="J9" i="1"/>
  <c r="J10" i="1"/>
  <c r="J11" i="1"/>
  <c r="J12" i="1"/>
  <c r="J13" i="1"/>
  <c r="J15" i="1"/>
  <c r="J16" i="1"/>
  <c r="J17" i="1"/>
  <c r="J19" i="1"/>
  <c r="J20" i="1"/>
  <c r="J23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28" i="2"/>
  <c r="K8" i="2" a="1"/>
  <c r="K8" i="2" s="1"/>
  <c r="L6" i="2"/>
  <c r="L7" i="2"/>
  <c r="O19" i="4"/>
  <c r="O20" i="4"/>
  <c r="O21" i="4"/>
  <c r="O22" i="4"/>
  <c r="O23" i="4"/>
  <c r="O24" i="4"/>
  <c r="O25" i="4"/>
  <c r="O26" i="4"/>
  <c r="O27" i="4"/>
  <c r="K2" i="4"/>
  <c r="M2" i="4"/>
  <c r="M3" i="4"/>
  <c r="O3" i="4" s="1"/>
  <c r="M4" i="4"/>
  <c r="O4" i="4" s="1"/>
  <c r="M5" i="4"/>
  <c r="O5" i="4" s="1"/>
  <c r="M6" i="4"/>
  <c r="O6" i="4" s="1"/>
  <c r="M7" i="4"/>
  <c r="O7" i="4" s="1"/>
  <c r="M8" i="4"/>
  <c r="O8" i="4" s="1"/>
  <c r="M9" i="4"/>
  <c r="M10" i="4"/>
  <c r="M12" i="4"/>
  <c r="M13" i="4"/>
  <c r="O13" i="4" s="1"/>
  <c r="M14" i="4"/>
  <c r="O14" i="4" s="1"/>
  <c r="M15" i="4"/>
  <c r="O15" i="4" s="1"/>
  <c r="M16" i="4"/>
  <c r="O16" i="4" s="1"/>
  <c r="M17" i="4"/>
  <c r="O17" i="4" s="1"/>
  <c r="M18" i="4"/>
  <c r="O18" i="4" s="1"/>
  <c r="M19" i="4"/>
  <c r="M20" i="4"/>
  <c r="M21" i="4"/>
  <c r="M22" i="4"/>
  <c r="M23" i="4"/>
  <c r="M24" i="4"/>
  <c r="M25" i="4"/>
  <c r="M26" i="4"/>
  <c r="P4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D3" i="1"/>
  <c r="D4" i="1"/>
  <c r="I4" i="1" s="1"/>
  <c r="K4" i="1" s="1"/>
  <c r="P4" i="1" s="1"/>
  <c r="D5" i="1"/>
  <c r="D6" i="1"/>
  <c r="I6" i="1" s="1"/>
  <c r="D7" i="1"/>
  <c r="D8" i="1"/>
  <c r="D9" i="1"/>
  <c r="D10" i="1"/>
  <c r="D11" i="1"/>
  <c r="D12" i="1"/>
  <c r="I12" i="1" s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I28" i="1" s="1"/>
  <c r="D29" i="1"/>
  <c r="D30" i="1"/>
  <c r="I30" i="1" s="1"/>
  <c r="D31" i="1"/>
  <c r="D32" i="1"/>
  <c r="D33" i="1"/>
  <c r="D34" i="1"/>
  <c r="D35" i="1"/>
  <c r="D36" i="1"/>
  <c r="I36" i="1" s="1"/>
  <c r="D37" i="1"/>
  <c r="D38" i="1"/>
  <c r="I38" i="1" s="1"/>
  <c r="D39" i="1"/>
  <c r="D40" i="1"/>
  <c r="L3" i="2"/>
  <c r="L4" i="2"/>
  <c r="L5" i="2"/>
  <c r="L28" i="2" l="1"/>
  <c r="I22" i="1"/>
  <c r="J22" i="1" s="1"/>
  <c r="I14" i="1"/>
  <c r="J14" i="1" s="1"/>
  <c r="M4" i="1"/>
  <c r="L8" i="2"/>
  <c r="I3" i="1"/>
  <c r="J3" i="1" s="1"/>
  <c r="I27" i="1"/>
  <c r="I35" i="1"/>
  <c r="I11" i="1"/>
  <c r="I18" i="1"/>
  <c r="J18" i="1" s="1"/>
  <c r="I34" i="1"/>
  <c r="I10" i="1"/>
  <c r="I26" i="1"/>
  <c r="I20" i="1"/>
  <c r="I19" i="1"/>
  <c r="K19" i="1" s="1"/>
  <c r="I33" i="1"/>
  <c r="K33" i="1" s="1"/>
  <c r="I17" i="1"/>
  <c r="K17" i="1" s="1"/>
  <c r="I40" i="1"/>
  <c r="I32" i="1"/>
  <c r="K32" i="1" s="1"/>
  <c r="I24" i="1"/>
  <c r="I16" i="1"/>
  <c r="K16" i="1" s="1"/>
  <c r="I8" i="1"/>
  <c r="K8" i="1" s="1"/>
  <c r="I25" i="1"/>
  <c r="K25" i="1" s="1"/>
  <c r="I9" i="1"/>
  <c r="K9" i="1" s="1"/>
  <c r="I39" i="1"/>
  <c r="K39" i="1" s="1"/>
  <c r="I31" i="1"/>
  <c r="K31" i="1" s="1"/>
  <c r="I23" i="1"/>
  <c r="I15" i="1"/>
  <c r="I7" i="1"/>
  <c r="I37" i="1"/>
  <c r="I29" i="1"/>
  <c r="K29" i="1" s="1"/>
  <c r="I21" i="1"/>
  <c r="J21" i="1" s="1"/>
  <c r="I13" i="1"/>
  <c r="K13" i="1" s="1"/>
  <c r="K38" i="1"/>
  <c r="K30" i="1"/>
  <c r="K6" i="1"/>
  <c r="K36" i="1"/>
  <c r="K28" i="1"/>
  <c r="K20" i="1"/>
  <c r="K12" i="1"/>
  <c r="K35" i="1"/>
  <c r="I5" i="1"/>
  <c r="K11" i="1"/>
  <c r="K40" i="1"/>
  <c r="K27" i="1"/>
  <c r="K3" i="1" l="1"/>
  <c r="M3" i="1" s="1"/>
  <c r="J24" i="1"/>
  <c r="K24" i="1" s="1"/>
  <c r="K22" i="1"/>
  <c r="P22" i="1" s="1"/>
  <c r="K14" i="1"/>
  <c r="M38" i="1"/>
  <c r="P38" i="1"/>
  <c r="M35" i="1"/>
  <c r="P35" i="1"/>
  <c r="P31" i="1"/>
  <c r="M31" i="1"/>
  <c r="P39" i="1"/>
  <c r="M39" i="1"/>
  <c r="M28" i="1"/>
  <c r="P28" i="1"/>
  <c r="P40" i="1"/>
  <c r="M40" i="1"/>
  <c r="M8" i="1"/>
  <c r="P8" i="1"/>
  <c r="P12" i="1"/>
  <c r="M12" i="1"/>
  <c r="M27" i="1"/>
  <c r="P27" i="1"/>
  <c r="M33" i="1"/>
  <c r="P33" i="1"/>
  <c r="M29" i="1"/>
  <c r="P29" i="1"/>
  <c r="M19" i="1"/>
  <c r="P19" i="1"/>
  <c r="P32" i="1"/>
  <c r="M32" i="1"/>
  <c r="M20" i="1"/>
  <c r="P20" i="1"/>
  <c r="M17" i="1"/>
  <c r="P17" i="1"/>
  <c r="M9" i="1"/>
  <c r="P9" i="1"/>
  <c r="M36" i="1"/>
  <c r="P36" i="1"/>
  <c r="P25" i="1"/>
  <c r="M25" i="1"/>
  <c r="P14" i="1"/>
  <c r="M14" i="1"/>
  <c r="M11" i="1"/>
  <c r="P11" i="1"/>
  <c r="P6" i="1"/>
  <c r="M6" i="1"/>
  <c r="M30" i="1"/>
  <c r="P30" i="1"/>
  <c r="P13" i="1"/>
  <c r="M13" i="1"/>
  <c r="M16" i="1"/>
  <c r="P16" i="1"/>
  <c r="K10" i="1"/>
  <c r="K26" i="1"/>
  <c r="K18" i="1"/>
  <c r="K15" i="1"/>
  <c r="K23" i="1"/>
  <c r="K34" i="1"/>
  <c r="K21" i="1"/>
  <c r="K37" i="1"/>
  <c r="K5" i="1"/>
  <c r="K7" i="1"/>
  <c r="P3" i="1" l="1"/>
  <c r="P24" i="1"/>
  <c r="M24" i="1"/>
  <c r="M22" i="1"/>
  <c r="P26" i="1"/>
  <c r="M26" i="1"/>
  <c r="M7" i="1"/>
  <c r="P7" i="1"/>
  <c r="P5" i="1"/>
  <c r="M5" i="1"/>
  <c r="P37" i="1"/>
  <c r="M37" i="1"/>
  <c r="P34" i="1"/>
  <c r="M34" i="1"/>
  <c r="M10" i="1"/>
  <c r="P10" i="1"/>
  <c r="M21" i="1"/>
  <c r="P21" i="1"/>
  <c r="P23" i="1"/>
  <c r="M23" i="1"/>
  <c r="P18" i="1"/>
  <c r="M18" i="1"/>
  <c r="P15" i="1"/>
  <c r="M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<sst xmlns="http://schemas.openxmlformats.org/spreadsheetml/2006/main" count="253" uniqueCount="141">
  <si>
    <t>Date</t>
  </si>
  <si>
    <t>Packs Bought</t>
  </si>
  <si>
    <t>Pcs Per Pack</t>
  </si>
  <si>
    <t>Items</t>
  </si>
  <si>
    <t>Total Paid</t>
  </si>
  <si>
    <t>Total Pcs</t>
  </si>
  <si>
    <t>True Cost</t>
  </si>
  <si>
    <t>Source</t>
  </si>
  <si>
    <t>Dark Green Stem</t>
  </si>
  <si>
    <t>white fuzzy wire</t>
  </si>
  <si>
    <t>light pink fuzzy wire</t>
  </si>
  <si>
    <t>burgundy red fuzzy wire</t>
  </si>
  <si>
    <t>right yellow fuzzy wire</t>
  </si>
  <si>
    <t>orange yellow fuzzy wire</t>
  </si>
  <si>
    <t>light blue fuzzy wire</t>
  </si>
  <si>
    <t>army green fuzzy wire</t>
  </si>
  <si>
    <t>light purple fuzzy wire</t>
  </si>
  <si>
    <t>deep coffee fuzzy wire</t>
  </si>
  <si>
    <t>floral tape</t>
  </si>
  <si>
    <t>Fish Tail Ribbon</t>
  </si>
  <si>
    <t xml:space="preserve">White 4cm (25 yards/roll) Satin Ribbon </t>
  </si>
  <si>
    <t>Medium Pink 4cm (25 yards/roll Satin Ribbon</t>
  </si>
  <si>
    <t>Rose Powder Wrapping Paper Gold Rose</t>
  </si>
  <si>
    <t>Black Edge-White Wrapping Paper</t>
  </si>
  <si>
    <t>light pink Hansu Wrapping Paper</t>
  </si>
  <si>
    <t>Glue Gun</t>
  </si>
  <si>
    <t>100 Yards Metalic Twist Tie</t>
  </si>
  <si>
    <t>Total Cost</t>
  </si>
  <si>
    <t>Label</t>
  </si>
  <si>
    <t>Shipping</t>
  </si>
  <si>
    <t xml:space="preserve">MANGGOHOME </t>
  </si>
  <si>
    <t>Dreamy Handmade Factory</t>
  </si>
  <si>
    <t>Merry Season</t>
  </si>
  <si>
    <t>Total</t>
  </si>
  <si>
    <t>Styropor Sheet</t>
  </si>
  <si>
    <t>Glue Stick Small 3s</t>
  </si>
  <si>
    <t>Name</t>
  </si>
  <si>
    <t>Fuzzy Wires Used</t>
  </si>
  <si>
    <t>Wrapping Paper Used</t>
  </si>
  <si>
    <t>Misc</t>
  </si>
  <si>
    <t>Production Cost</t>
  </si>
  <si>
    <t>Labor Cost</t>
  </si>
  <si>
    <t>Produce Cost</t>
  </si>
  <si>
    <t>Wrapping Paper Quantity</t>
  </si>
  <si>
    <t>light pink</t>
  </si>
  <si>
    <t>rose gold</t>
  </si>
  <si>
    <t>Black edge-white</t>
  </si>
  <si>
    <t>Fuzzy wire cost</t>
  </si>
  <si>
    <t>Wrapping cost</t>
  </si>
  <si>
    <t>SRP</t>
  </si>
  <si>
    <t>Gross Profit</t>
  </si>
  <si>
    <t>Distributor price</t>
  </si>
  <si>
    <t>Gross from distributor</t>
  </si>
  <si>
    <t>Velvet Red Lily</t>
  </si>
  <si>
    <t>Amber Gold Sun</t>
  </si>
  <si>
    <t>Sapphire Mist Lily</t>
  </si>
  <si>
    <t>Rose Quartz Bloom</t>
  </si>
  <si>
    <t>Ocean Mist Daisy</t>
  </si>
  <si>
    <t>Sun-Kissed Bloom</t>
  </si>
  <si>
    <t>Lavender Dream</t>
  </si>
  <si>
    <t>Scarlet Love Letter</t>
  </si>
  <si>
    <t>Emerald Velvet Foliage</t>
  </si>
  <si>
    <t>Velvet Crimson Accents</t>
  </si>
  <si>
    <t>Order ID</t>
  </si>
  <si>
    <t>Profile Link</t>
  </si>
  <si>
    <t>Total Price</t>
  </si>
  <si>
    <t>Req. DP (50%)</t>
  </si>
  <si>
    <t>Amount Paid</t>
  </si>
  <si>
    <t>FB Name</t>
  </si>
  <si>
    <t>Product Order</t>
  </si>
  <si>
    <t>Quantity</t>
  </si>
  <si>
    <t>Color/ Variant</t>
  </si>
  <si>
    <t>Add-ons/ Notes</t>
  </si>
  <si>
    <t>Pickup Date</t>
  </si>
  <si>
    <t>Balance</t>
  </si>
  <si>
    <t>Ref #</t>
  </si>
  <si>
    <t>Status</t>
  </si>
  <si>
    <t>Justine Peralta</t>
  </si>
  <si>
    <t>Default</t>
  </si>
  <si>
    <t>None</t>
  </si>
  <si>
    <t>Lyca Villanueva</t>
  </si>
  <si>
    <t>Velvet Blush Lily</t>
  </si>
  <si>
    <t>Blue ung flower</t>
  </si>
  <si>
    <t>4036 770 921807</t>
  </si>
  <si>
    <t>Order Type</t>
  </si>
  <si>
    <t>COD</t>
  </si>
  <si>
    <t>Pre-Order</t>
  </si>
  <si>
    <t>Gilded Sunshine Bloom</t>
  </si>
  <si>
    <t>Flower Gife Wrap 30pcs Colored White</t>
  </si>
  <si>
    <t>Stammens off-white</t>
  </si>
  <si>
    <t>military green fuzzies</t>
  </si>
  <si>
    <t>Gift Wrap Art</t>
  </si>
  <si>
    <t xml:space="preserve">ribbon red </t>
  </si>
  <si>
    <t>XYH-diy</t>
  </si>
  <si>
    <t>Shipping total</t>
  </si>
  <si>
    <t>Total Invested</t>
  </si>
  <si>
    <t>Flower Status</t>
  </si>
  <si>
    <t>To Wrap</t>
  </si>
  <si>
    <t>Ate Lorna</t>
  </si>
  <si>
    <t>Wild Plum Mini</t>
  </si>
  <si>
    <t>Pending</t>
  </si>
  <si>
    <t>Pink ung flower</t>
  </si>
  <si>
    <t>Francis Mistica</t>
  </si>
  <si>
    <t>Victor De Mesa</t>
  </si>
  <si>
    <t>10 pcs carton</t>
  </si>
  <si>
    <t>Gabby Sebastian</t>
  </si>
  <si>
    <t>Customized</t>
  </si>
  <si>
    <t>Wild plum mini</t>
  </si>
  <si>
    <t>pink</t>
  </si>
  <si>
    <t>3 of a kind</t>
  </si>
  <si>
    <t>basta 3 different color sa 10</t>
  </si>
  <si>
    <t>Column1</t>
  </si>
  <si>
    <t>Column2</t>
  </si>
  <si>
    <t>100G Shreded Paper blue green</t>
  </si>
  <si>
    <t>Investment</t>
  </si>
  <si>
    <t>Net Profit</t>
  </si>
  <si>
    <t>Customized ni Dad</t>
  </si>
  <si>
    <t>Customized ni dad</t>
  </si>
  <si>
    <t>Product</t>
  </si>
  <si>
    <t>Qty</t>
  </si>
  <si>
    <t>Revenue</t>
  </si>
  <si>
    <t>Expense (Inventory)</t>
  </si>
  <si>
    <t>Inventory Cost</t>
  </si>
  <si>
    <t>Total Spent</t>
  </si>
  <si>
    <t>Till BreakEven</t>
  </si>
  <si>
    <t>mother</t>
  </si>
  <si>
    <t>Customized ni Imac</t>
  </si>
  <si>
    <t xml:space="preserve">None </t>
  </si>
  <si>
    <t>Imac Uy</t>
  </si>
  <si>
    <t>Costomized ni Imac 2</t>
  </si>
  <si>
    <t>Blanck edge-white</t>
  </si>
  <si>
    <t>more leaves and flowers</t>
  </si>
  <si>
    <t>Customize R</t>
  </si>
  <si>
    <t>Delivered</t>
  </si>
  <si>
    <t>Mark Engelo Vergara</t>
  </si>
  <si>
    <t>Pera sa Kaha</t>
  </si>
  <si>
    <t>7037 747 148539</t>
  </si>
  <si>
    <t>jade pink fuzzy wire</t>
  </si>
  <si>
    <t>ultramarine fuzzy wire</t>
  </si>
  <si>
    <t>moss green fuzzy wire</t>
  </si>
  <si>
    <t>Total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</si>
</sst>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15" fontId="0" fillId="0" borderId="0" xfId="0" applyNumberForma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on sales report sheet. I wanna -style" pivot="0" count="4" xr9:uid="{79C643F2-D1BE-44ED-9BFA-753BE032D615}">
      <tableStyleElement type="wholeTable" size="0" dxfId="17"/>
      <tableStyleElement type="header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0AABF2-30D4-47C4-A8EE-C5A4E30D106E}" name="Table5" displayName="Table5" ref="B2:M40" totalsRowShown="0">
  <autoFilter ref="B2:M40" xr:uid="{620AABF2-30D4-47C4-A8EE-C5A4E30D106E}"/>
  <tableColumns count="12">
    <tableColumn id="1" xr3:uid="{70EFA671-FB24-4B35-A9ED-2C55ABD4413B}" name="Name"/>
    <tableColumn id="2" xr3:uid="{D8295D34-15FD-48EE-8542-7277E98CE9CA}" name="Fuzzy Wires Used"/>
    <tableColumn id="10" xr3:uid="{566402F3-2B95-40E4-9C59-57D0A8833B6E}" name="Fuzzy wire cost" dataDxfId="13">
      <calculatedColumnFormula>PRODUCT(C3, 0.43)</calculatedColumnFormula>
    </tableColumn>
    <tableColumn id="3" xr3:uid="{BC4E3966-9474-4694-8BDF-C6C0C934ED60}" name="Wrapping Paper Used"/>
    <tableColumn id="4" xr3:uid="{E2F558FC-144C-4915-B0C0-85E8AEEF5D89}" name="Wrapping Paper Quantity"/>
    <tableColumn id="11" xr3:uid="{8DCF4DAE-01DF-408A-A022-B99003DDE7A5}" name="Wrapping cost" dataDxfId="12">
      <calculatedColumnFormula>IF(ISBLANK(F3), 0, F3*3)</calculatedColumnFormula>
    </tableColumn>
    <tableColumn id="5" xr3:uid="{6FFC983F-677A-4F91-8697-79CB57AC7CCF}" name="Misc"/>
    <tableColumn id="6" xr3:uid="{0EDECC58-C12B-42E3-AEE2-9095D644A82D}" name="Production Cost" dataDxfId="11">
      <calculatedColumnFormula>SUM(D3,G3,H3)</calculatedColumnFormula>
    </tableColumn>
    <tableColumn id="7" xr3:uid="{0F9B9294-DF07-470F-A6CC-607D32071A90}" name="Labor Cost" dataDxfId="10">
      <calculatedColumnFormula>I3*150%</calculatedColumnFormula>
    </tableColumn>
    <tableColumn id="8" xr3:uid="{C489B5CE-22AC-4A47-8D81-A4375BC16234}" name="Produce Cost" dataDxfId="9">
      <calculatedColumnFormula>SUM(I3, J3)</calculatedColumnFormula>
    </tableColumn>
    <tableColumn id="12" xr3:uid="{FF20BF06-CF36-4D97-BCEC-7D09C95ABB6B}" name="SRP" dataDxfId="8"/>
    <tableColumn id="13" xr3:uid="{A74D95BA-5A89-4A81-8C1C-2F02B2942832}" name="Gross Profit" dataDxfId="7">
      <calculatedColumnFormula>(L3-K3)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A54509-8F64-4132-8396-FFFC8A375E8C}" name="Table1" displayName="Table1" ref="O2:P41" totalsRowShown="0">
  <autoFilter ref="O2:P41" xr:uid="{F6A54509-8F64-4132-8396-FFFC8A375E8C}"/>
  <tableColumns count="2">
    <tableColumn id="1" xr3:uid="{0DE261CC-0B35-4A4F-8701-24C5E448038D}" name="Distributor price"/>
    <tableColumn id="2" xr3:uid="{6192EECF-5A41-4918-86FC-12B8D9720EDD}" name="Gross from distributor" dataDxfId="6">
      <calculatedColumnFormula>(O3-K3)</calculatedColumnFormula>
    </tableColumn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B609F1A-BE3A-4D91-81F8-37D83C753189}" name="Table8" displayName="Table8" ref="A1:P27" totalsRowShown="0">
  <autoFilter ref="A1:P27" xr:uid="{3B609F1A-BE3A-4D91-81F8-37D83C753189}"/>
  <tableColumns count="16">
    <tableColumn id="1" xr3:uid="{89351E70-D7C9-4CE4-900E-FB7750F011B9}" name="Order ID"/>
    <tableColumn id="2" xr3:uid="{1D778558-72B8-4A2C-A9A6-C94AB8BD588B}" name="FB Name"/>
    <tableColumn id="17" xr3:uid="{63EEC565-8F1D-45A9-BB87-5B422A1C58C8}" name="Profile Link"/>
    <tableColumn id="3" xr3:uid="{AD1E70E1-CCC4-4B92-B2F6-AAC74F8DB0E1}" name="Product Order"/>
    <tableColumn id="4" xr3:uid="{6B4B10BC-8B47-4D3C-8DF6-0F58B6B9E7C2}" name="Color/ Variant"/>
    <tableColumn id="5" xr3:uid="{E09DE495-AA65-48F1-8E3F-4F7E48419C2D}" name="Quantity"/>
    <tableColumn id="6" xr3:uid="{73C5A7F5-E4FA-445E-8B1B-7097B6E0E31A}" name="Add-ons/ Notes"/>
    <tableColumn id="7" xr3:uid="{141BF7AD-4595-4007-AF25-8C2BD4F6B147}" name="Pickup Date"/>
    <tableColumn id="16" xr3:uid="{847F2E84-9A79-4A70-B45F-BAE1F5D44A71}" name="Order Type"/>
    <tableColumn id="8" xr3:uid="{92CC3C7F-9F86-4E51-865E-A47164D94F9D}" name="Total Price"/>
    <tableColumn id="9" xr3:uid="{42B3DDF9-D900-4E2E-878F-2B86FDEAEB83}" name="Req. DP (50%)"/>
    <tableColumn id="10" xr3:uid="{BDBA6481-B714-42F8-BC71-905427E458BA}" name="Amount Paid"/>
    <tableColumn id="11" xr3:uid="{F7F3C007-9A9A-4ECD-96CD-DA608DC94DC0}" name="Balance" dataDxfId="5">
      <calculatedColumnFormula>IF(J2="", "", J2-L2)</calculatedColumnFormula>
    </tableColumn>
    <tableColumn id="12" xr3:uid="{88277656-CB37-4E18-8438-3EE7507CB54B}" name="Ref #"/>
    <tableColumn id="13" xr3:uid="{FD44E925-E7C1-46C2-B542-C102B35EB82C}" name="Status" dataDxfId="4">
      <calculatedColumnFormula>IF(J2="", "", IF(I2="None", "Select Type", IF(M2&lt;=0, "Fully Paid", IF(I2="COD", "Confirmed (COD)", IF(L2&gt;=K2, "Confirmed (Processing)", "WAITING FOR DP")))))</calculatedColumnFormula>
    </tableColumn>
    <tableColumn id="14" xr3:uid="{20920841-C859-448F-B8B8-5F388C29B0E9}" name="Flower Status" dataDxfId="3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BE6D163-E961-4DA7-BB33-18ECC7213766}" name="Table10" displayName="Table10" ref="R6:S13" totalsRowShown="0">
  <autoFilter ref="R6:S13" xr:uid="{EBE6D163-E961-4DA7-BB33-18ECC7213766}"/>
  <tableColumns count="2">
    <tableColumn id="1" xr3:uid="{B72ECDE6-D1DC-4638-8B05-79176DED3C2B}" name="Column1"/>
    <tableColumn id="2" xr3:uid="{D8581D24-D878-4FE9-8A34-52D7C4F81D16}" name="Column2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746A7FC-ABB3-4A4B-9431-0E1E10E1A029}" name="Product_Sales_Record" displayName="Product_Sales_Record" ref="V1:AC10">
  <tableColumns count="8">
    <tableColumn id="1" xr3:uid="{09C54DF3-BA29-46BE-B776-48B7F36BCB3E}" name="Order ID"/>
    <tableColumn id="2" xr3:uid="{1F198DB5-3598-4DE8-BACA-22C2A0659466}" name="Product"/>
    <tableColumn id="3" xr3:uid="{3F77F7DA-49E0-4B80-9824-96D703972BB5}" name="Qty"/>
    <tableColumn id="4" xr3:uid="{413E88D2-3609-4A8B-ABFA-360ED3BF64E8}" name="Revenue"/>
    <tableColumn id="5" xr3:uid="{2F30C109-9B22-4045-BAD0-6D9DE4808FEF}" name="Expense (Inventory)"/>
    <tableColumn id="6" xr3:uid="{5F03647D-1435-4847-909F-202518A8C81A}" name="Labor Cost"/>
    <tableColumn id="7" xr3:uid="{8B69E653-13CB-41D7-B998-489DE53CAF8B}" name="Total Cost"/>
    <tableColumn id="8" xr3:uid="{1785E1EE-5131-467B-8722-95E11B0CB751}" name="Net Profit"/>
  </tableColumns>
  <tableStyleInfo name="on sales report sheet. I wanna 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4A753AD-6A57-46BD-82B0-B81F036027B6}" name="Table1013" displayName="Table1013" ref="U14:V21" totalsRowShown="0">
  <autoFilter ref="U14:V21" xr:uid="{04A753AD-6A57-46BD-82B0-B81F036027B6}"/>
  <tableColumns count="2">
    <tableColumn id="1" xr3:uid="{674A959C-A9BC-4B9B-980C-1B45052283EB}" name="Column1"/>
    <tableColumn id="2" xr3:uid="{828E5721-24C2-4524-B903-EEA046B17A69}" name="Column2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99EAA1-E329-4636-88DC-C1935C941A40}" name="Table2" displayName="Table2" ref="A1:H36" totalsRowShown="0">
  <autoFilter ref="A1:H36" xr:uid="{B599EAA1-E329-4636-88DC-C1935C941A40}"/>
  <tableColumns count="8">
    <tableColumn id="1" xr3:uid="{A89BDAAE-9484-474B-A19F-3B2A8EB2A686}" name="Date"/>
    <tableColumn id="2" xr3:uid="{35178BAE-4512-45FC-98FF-43C94F2DA204}" name="Items"/>
    <tableColumn id="3" xr3:uid="{4F1A76F0-76BC-48B6-AAD6-AB07E6876711}" name="Packs Bought"/>
    <tableColumn id="4" xr3:uid="{1468892B-026F-46BE-92D7-700F76BB120A}" name="Pcs Per Pack"/>
    <tableColumn id="5" xr3:uid="{7BEC9735-EF12-45C8-95A0-0013F935D12F}" name="Total Paid"/>
    <tableColumn id="6" xr3:uid="{465B9DB4-CB6E-45FC-96C1-9915BE8A19AE}" name="Total Pcs" dataDxfId="2">
      <calculatedColumnFormula>C2*D2</calculatedColumnFormula>
    </tableColumn>
    <tableColumn id="7" xr3:uid="{CB71AD9D-F436-4BBB-BE7E-E506C600FA6A}" name="True Cost" dataDxfId="1">
      <calculatedColumnFormula>E2/F2</calculatedColumnFormula>
    </tableColumn>
    <tableColumn id="8" xr3:uid="{8B6F6F7F-D280-424A-8F5D-4436B77A135B}" name="Source"/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ED723F-3661-40C8-8069-5BA7515FC2D3}" name="Table3" displayName="Table3" ref="J2:L8" totalsRowShown="0">
  <autoFilter ref="J2:L8" xr:uid="{06ED723F-3661-40C8-8069-5BA7515FC2D3}"/>
  <tableColumns count="3">
    <tableColumn id="1" xr3:uid="{43D25A36-6C36-4C52-898F-F9AEDBCCEE24}" name="Label"/>
    <tableColumn id="2" xr3:uid="{4829EE39-C240-4FC2-8B85-388009298BD8}" name="Shipping"/>
    <tableColumn id="3" xr3:uid="{79555501-78A7-4ADB-81D9-50B01819BEB4}" name="Total Cost" dataDxfId="0">
      <calculatedColumnFormula>SUM(E21, K3)</calculatedColumnFormula>
    </tableColumn>
  </tableColumns>
  <tableStyleInfo name="TableStyleLight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767187-D31C-41BB-8616-7CAC757A7797}" name="Table4" displayName="Table4" ref="J27:L28" totalsRowShown="0">
  <autoFilter ref="J27:L28" xr:uid="{76767187-D31C-41BB-8616-7CAC757A7797}"/>
  <tableColumns count="3">
    <tableColumn id="1" xr3:uid="{8EE30571-2FF4-439A-A3CC-718AF75DB1EC}" name="Shipping total">
      <calculatedColumnFormula>SUM(K3:K5)</calculatedColumnFormula>
    </tableColumn>
    <tableColumn id="2" xr3:uid="{5DA02B03-9F83-465F-9B73-C4EABEFCBEC8}" name="Total Invested">
      <calculatedColumnFormula>SUM(E1:E36)</calculatedColumnFormula>
    </tableColumn>
    <tableColumn id="3" xr3:uid="{C19A81A9-DE6B-4F18-9E0B-024ECF4B5B52}" name="Total">
      <calculatedColumnFormula>SUM(J28, K28)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9557-1861-43F1-AC5A-E80C7E614D0C}">
  <dimension ref="B2:P41"/>
  <sheetViews>
    <sheetView tabSelected="1" zoomScale="85" zoomScaleNormal="85" workbookViewId="0">
      <selection activeCell="I15" sqref="I15"/>
    </sheetView>
  </sheetViews>
  <sheetFormatPr defaultRowHeight="14.4" x14ac:dyDescent="0.3"/>
  <cols>
    <col min="2" max="2" width="22.5546875" customWidth="1"/>
    <col min="3" max="3" width="16" customWidth="1"/>
    <col min="4" max="4" width="19.44140625" customWidth="1"/>
    <col min="5" max="5" width="9.77734375" customWidth="1"/>
    <col min="6" max="6" width="7.21875" customWidth="1"/>
    <col min="7" max="7" width="10.77734375" customWidth="1"/>
    <col min="8" max="8" width="19.21875" customWidth="1"/>
    <col min="9" max="9" width="16" customWidth="1"/>
    <col min="10" max="10" width="14.88671875" customWidth="1"/>
    <col min="11" max="11" width="15.5546875" customWidth="1"/>
    <col min="12" max="12" width="12.33203125" customWidth="1"/>
    <col min="13" max="13" width="14.44140625" customWidth="1"/>
    <col min="15" max="15" width="19.6640625" customWidth="1"/>
    <col min="16" max="16" width="25" customWidth="1"/>
  </cols>
  <sheetData>
    <row r="2" spans="2:16" x14ac:dyDescent="0.3">
      <c r="B2" t="s">
        <v>36</v>
      </c>
      <c r="C2" t="s">
        <v>37</v>
      </c>
      <c r="D2" t="s">
        <v>47</v>
      </c>
      <c r="E2" t="s">
        <v>38</v>
      </c>
      <c r="F2" t="s">
        <v>43</v>
      </c>
      <c r="G2" t="s">
        <v>48</v>
      </c>
      <c r="H2" t="s">
        <v>39</v>
      </c>
      <c r="I2" t="s">
        <v>40</v>
      </c>
      <c r="J2" t="s">
        <v>41</v>
      </c>
      <c r="K2" t="s">
        <v>42</v>
      </c>
      <c r="L2" t="s">
        <v>49</v>
      </c>
      <c r="M2" t="s">
        <v>50</v>
      </c>
      <c r="O2" t="s">
        <v>51</v>
      </c>
      <c r="P2" t="s">
        <v>52</v>
      </c>
    </row>
    <row r="3" spans="2:16" x14ac:dyDescent="0.3">
      <c r="B3" t="s">
        <v>81</v>
      </c>
      <c r="C3">
        <v>25</v>
      </c>
      <c r="D3">
        <f>PRODUCT(C3, 0.43)</f>
        <v>10.75</v>
      </c>
      <c r="E3" t="s">
        <v>44</v>
      </c>
      <c r="F3">
        <v>2</v>
      </c>
      <c r="G3">
        <f t="shared" ref="G3:G40" si="0">IF(ISBLANK(F3), 0, F3*3)</f>
        <v>6</v>
      </c>
      <c r="H3">
        <v>20</v>
      </c>
      <c r="I3">
        <f t="shared" ref="I3:I40" si="1">SUM(D3,G3,H3)</f>
        <v>36.75</v>
      </c>
      <c r="J3">
        <f t="shared" ref="J3:J40" si="2">I3*150%</f>
        <v>55.125</v>
      </c>
      <c r="K3">
        <f t="shared" ref="K3:K40" si="3">SUM(I3, J3)</f>
        <v>91.875</v>
      </c>
      <c r="L3">
        <v>150</v>
      </c>
      <c r="M3">
        <f t="shared" ref="M3:M40" si="4">(L3-K3)</f>
        <v>58.125</v>
      </c>
      <c r="O3">
        <v>100</v>
      </c>
      <c r="P3">
        <f t="shared" ref="P3:P41" si="5">(O3-K3)</f>
        <v>8.125</v>
      </c>
    </row>
    <row r="4" spans="2:16" x14ac:dyDescent="0.3">
      <c r="B4" t="s">
        <v>87</v>
      </c>
      <c r="C4">
        <v>25</v>
      </c>
      <c r="D4">
        <f t="shared" ref="D4:D40" si="6">PRODUCT(C4, 0.43)</f>
        <v>10.75</v>
      </c>
      <c r="E4" t="s">
        <v>45</v>
      </c>
      <c r="F4">
        <v>2</v>
      </c>
      <c r="G4">
        <f t="shared" si="0"/>
        <v>6</v>
      </c>
      <c r="H4">
        <v>20</v>
      </c>
      <c r="I4">
        <f t="shared" si="1"/>
        <v>36.75</v>
      </c>
      <c r="J4">
        <f t="shared" si="2"/>
        <v>55.125</v>
      </c>
      <c r="K4">
        <f t="shared" si="3"/>
        <v>91.875</v>
      </c>
      <c r="L4">
        <v>150</v>
      </c>
      <c r="M4">
        <f t="shared" si="4"/>
        <v>58.125</v>
      </c>
      <c r="O4">
        <v>100</v>
      </c>
      <c r="P4">
        <f t="shared" si="5"/>
        <v>8.125</v>
      </c>
    </row>
    <row r="5" spans="2:16" x14ac:dyDescent="0.3">
      <c r="B5" t="s">
        <v>53</v>
      </c>
      <c r="C5">
        <v>50</v>
      </c>
      <c r="D5">
        <f t="shared" si="6"/>
        <v>21.5</v>
      </c>
      <c r="E5" t="s">
        <v>46</v>
      </c>
      <c r="F5">
        <v>3</v>
      </c>
      <c r="G5">
        <f t="shared" si="0"/>
        <v>9</v>
      </c>
      <c r="H5">
        <v>20</v>
      </c>
      <c r="I5">
        <f t="shared" si="1"/>
        <v>50.5</v>
      </c>
      <c r="J5">
        <f t="shared" si="2"/>
        <v>75.75</v>
      </c>
      <c r="K5">
        <f t="shared" si="3"/>
        <v>126.25</v>
      </c>
      <c r="L5">
        <v>200</v>
      </c>
      <c r="M5">
        <f t="shared" si="4"/>
        <v>73.75</v>
      </c>
      <c r="O5">
        <v>170</v>
      </c>
      <c r="P5">
        <f t="shared" si="5"/>
        <v>43.75</v>
      </c>
    </row>
    <row r="6" spans="2:16" x14ac:dyDescent="0.3">
      <c r="B6" t="s">
        <v>53</v>
      </c>
      <c r="C6">
        <v>18</v>
      </c>
      <c r="D6">
        <f t="shared" si="6"/>
        <v>7.74</v>
      </c>
      <c r="G6">
        <f t="shared" si="0"/>
        <v>0</v>
      </c>
      <c r="H6">
        <v>10</v>
      </c>
      <c r="I6">
        <f t="shared" si="1"/>
        <v>17.740000000000002</v>
      </c>
      <c r="J6">
        <f t="shared" si="2"/>
        <v>26.610000000000003</v>
      </c>
      <c r="K6">
        <f t="shared" si="3"/>
        <v>44.350000000000009</v>
      </c>
      <c r="L6">
        <v>75</v>
      </c>
      <c r="M6">
        <f t="shared" si="4"/>
        <v>30.649999999999991</v>
      </c>
      <c r="P6">
        <f t="shared" si="5"/>
        <v>-44.350000000000009</v>
      </c>
    </row>
    <row r="7" spans="2:16" x14ac:dyDescent="0.3">
      <c r="B7" t="s">
        <v>54</v>
      </c>
      <c r="C7">
        <v>24</v>
      </c>
      <c r="D7">
        <f t="shared" si="6"/>
        <v>10.32</v>
      </c>
      <c r="G7">
        <f t="shared" si="0"/>
        <v>0</v>
      </c>
      <c r="H7">
        <v>10</v>
      </c>
      <c r="I7">
        <f t="shared" si="1"/>
        <v>20.32</v>
      </c>
      <c r="J7">
        <f t="shared" si="2"/>
        <v>30.48</v>
      </c>
      <c r="K7">
        <f t="shared" si="3"/>
        <v>50.8</v>
      </c>
      <c r="L7">
        <v>96</v>
      </c>
      <c r="M7">
        <f t="shared" si="4"/>
        <v>45.2</v>
      </c>
      <c r="P7">
        <f t="shared" si="5"/>
        <v>-50.8</v>
      </c>
    </row>
    <row r="8" spans="2:16" x14ac:dyDescent="0.3">
      <c r="B8" t="s">
        <v>55</v>
      </c>
      <c r="C8">
        <v>21</v>
      </c>
      <c r="D8">
        <f t="shared" si="6"/>
        <v>9.0299999999999994</v>
      </c>
      <c r="G8">
        <f t="shared" si="0"/>
        <v>0</v>
      </c>
      <c r="H8">
        <v>10</v>
      </c>
      <c r="I8">
        <f t="shared" si="1"/>
        <v>19.03</v>
      </c>
      <c r="J8">
        <f t="shared" si="2"/>
        <v>28.545000000000002</v>
      </c>
      <c r="K8">
        <f t="shared" si="3"/>
        <v>47.575000000000003</v>
      </c>
      <c r="L8">
        <v>95</v>
      </c>
      <c r="M8">
        <f t="shared" si="4"/>
        <v>47.424999999999997</v>
      </c>
      <c r="P8">
        <f t="shared" si="5"/>
        <v>-47.575000000000003</v>
      </c>
    </row>
    <row r="9" spans="2:16" x14ac:dyDescent="0.3">
      <c r="B9" t="s">
        <v>56</v>
      </c>
      <c r="C9">
        <v>21</v>
      </c>
      <c r="D9">
        <f t="shared" si="6"/>
        <v>9.0299999999999994</v>
      </c>
      <c r="G9">
        <f t="shared" si="0"/>
        <v>0</v>
      </c>
      <c r="H9">
        <v>10</v>
      </c>
      <c r="I9">
        <f t="shared" si="1"/>
        <v>19.03</v>
      </c>
      <c r="J9">
        <f t="shared" si="2"/>
        <v>28.545000000000002</v>
      </c>
      <c r="K9">
        <f t="shared" si="3"/>
        <v>47.575000000000003</v>
      </c>
      <c r="L9">
        <v>100</v>
      </c>
      <c r="M9">
        <f t="shared" si="4"/>
        <v>52.424999999999997</v>
      </c>
      <c r="P9">
        <f t="shared" si="5"/>
        <v>-47.575000000000003</v>
      </c>
    </row>
    <row r="10" spans="2:16" x14ac:dyDescent="0.3">
      <c r="B10" t="s">
        <v>57</v>
      </c>
      <c r="C10">
        <v>11</v>
      </c>
      <c r="D10">
        <f t="shared" si="6"/>
        <v>4.7299999999999995</v>
      </c>
      <c r="G10">
        <f t="shared" si="0"/>
        <v>0</v>
      </c>
      <c r="H10">
        <v>10</v>
      </c>
      <c r="I10">
        <f t="shared" si="1"/>
        <v>14.73</v>
      </c>
      <c r="J10">
        <f t="shared" si="2"/>
        <v>22.094999999999999</v>
      </c>
      <c r="K10">
        <f t="shared" si="3"/>
        <v>36.825000000000003</v>
      </c>
      <c r="L10">
        <v>90</v>
      </c>
      <c r="M10">
        <f t="shared" si="4"/>
        <v>53.174999999999997</v>
      </c>
      <c r="P10">
        <f t="shared" si="5"/>
        <v>-36.825000000000003</v>
      </c>
    </row>
    <row r="11" spans="2:16" x14ac:dyDescent="0.3">
      <c r="B11" t="s">
        <v>58</v>
      </c>
      <c r="C11">
        <v>19</v>
      </c>
      <c r="D11">
        <f t="shared" si="6"/>
        <v>8.17</v>
      </c>
      <c r="G11">
        <f t="shared" si="0"/>
        <v>0</v>
      </c>
      <c r="H11">
        <v>10</v>
      </c>
      <c r="I11">
        <f t="shared" si="1"/>
        <v>18.170000000000002</v>
      </c>
      <c r="J11">
        <f t="shared" si="2"/>
        <v>27.255000000000003</v>
      </c>
      <c r="K11">
        <f t="shared" si="3"/>
        <v>45.425000000000004</v>
      </c>
      <c r="L11">
        <v>95</v>
      </c>
      <c r="M11">
        <f t="shared" si="4"/>
        <v>49.574999999999996</v>
      </c>
      <c r="P11">
        <f t="shared" si="5"/>
        <v>-45.425000000000004</v>
      </c>
    </row>
    <row r="12" spans="2:16" x14ac:dyDescent="0.3">
      <c r="B12" t="s">
        <v>59</v>
      </c>
      <c r="C12">
        <v>30</v>
      </c>
      <c r="D12">
        <f t="shared" si="6"/>
        <v>12.9</v>
      </c>
      <c r="G12">
        <f t="shared" si="0"/>
        <v>0</v>
      </c>
      <c r="H12">
        <v>10</v>
      </c>
      <c r="I12">
        <f t="shared" si="1"/>
        <v>22.9</v>
      </c>
      <c r="J12">
        <f t="shared" si="2"/>
        <v>34.349999999999994</v>
      </c>
      <c r="K12">
        <f t="shared" si="3"/>
        <v>57.249999999999993</v>
      </c>
      <c r="L12">
        <v>100</v>
      </c>
      <c r="M12">
        <f t="shared" si="4"/>
        <v>42.750000000000007</v>
      </c>
      <c r="P12">
        <f t="shared" si="5"/>
        <v>-57.249999999999993</v>
      </c>
    </row>
    <row r="13" spans="2:16" x14ac:dyDescent="0.3">
      <c r="B13" t="s">
        <v>60</v>
      </c>
      <c r="C13">
        <v>20</v>
      </c>
      <c r="D13">
        <f t="shared" si="6"/>
        <v>8.6</v>
      </c>
      <c r="G13">
        <f t="shared" si="0"/>
        <v>0</v>
      </c>
      <c r="H13">
        <v>10</v>
      </c>
      <c r="I13">
        <f t="shared" si="1"/>
        <v>18.600000000000001</v>
      </c>
      <c r="J13">
        <f t="shared" si="2"/>
        <v>27.900000000000002</v>
      </c>
      <c r="K13">
        <f t="shared" si="3"/>
        <v>46.5</v>
      </c>
      <c r="L13">
        <v>100</v>
      </c>
      <c r="M13">
        <f t="shared" si="4"/>
        <v>53.5</v>
      </c>
      <c r="P13">
        <f t="shared" si="5"/>
        <v>-46.5</v>
      </c>
    </row>
    <row r="14" spans="2:16" x14ac:dyDescent="0.3">
      <c r="B14" t="s">
        <v>107</v>
      </c>
      <c r="C14">
        <v>5</v>
      </c>
      <c r="D14">
        <f t="shared" si="6"/>
        <v>2.15</v>
      </c>
      <c r="E14" t="s">
        <v>108</v>
      </c>
      <c r="F14">
        <v>1</v>
      </c>
      <c r="G14">
        <f t="shared" si="0"/>
        <v>3</v>
      </c>
      <c r="H14">
        <v>5</v>
      </c>
      <c r="I14">
        <f t="shared" si="1"/>
        <v>10.15</v>
      </c>
      <c r="J14">
        <f t="shared" si="2"/>
        <v>15.225000000000001</v>
      </c>
      <c r="K14">
        <f t="shared" si="3"/>
        <v>25.375</v>
      </c>
      <c r="L14">
        <v>40</v>
      </c>
      <c r="M14">
        <f t="shared" si="4"/>
        <v>14.625</v>
      </c>
      <c r="P14">
        <f t="shared" si="5"/>
        <v>-25.375</v>
      </c>
    </row>
    <row r="15" spans="2:16" x14ac:dyDescent="0.3">
      <c r="B15" t="s">
        <v>61</v>
      </c>
      <c r="C15">
        <v>7</v>
      </c>
      <c r="D15">
        <f t="shared" si="6"/>
        <v>3.01</v>
      </c>
      <c r="G15">
        <f t="shared" si="0"/>
        <v>0</v>
      </c>
      <c r="H15">
        <v>5</v>
      </c>
      <c r="I15">
        <f t="shared" si="1"/>
        <v>8.01</v>
      </c>
      <c r="J15">
        <f t="shared" si="2"/>
        <v>12.015000000000001</v>
      </c>
      <c r="K15">
        <f t="shared" si="3"/>
        <v>20.024999999999999</v>
      </c>
      <c r="L15">
        <v>50</v>
      </c>
      <c r="M15">
        <f t="shared" si="4"/>
        <v>29.975000000000001</v>
      </c>
      <c r="P15">
        <f t="shared" si="5"/>
        <v>-20.024999999999999</v>
      </c>
    </row>
    <row r="16" spans="2:16" x14ac:dyDescent="0.3">
      <c r="B16" t="s">
        <v>62</v>
      </c>
      <c r="C16">
        <v>18</v>
      </c>
      <c r="D16">
        <f t="shared" si="6"/>
        <v>7.74</v>
      </c>
      <c r="G16">
        <f t="shared" si="0"/>
        <v>0</v>
      </c>
      <c r="H16">
        <v>10</v>
      </c>
      <c r="I16">
        <f t="shared" si="1"/>
        <v>17.740000000000002</v>
      </c>
      <c r="J16">
        <f t="shared" si="2"/>
        <v>26.610000000000003</v>
      </c>
      <c r="K16">
        <f t="shared" si="3"/>
        <v>44.350000000000009</v>
      </c>
      <c r="L16">
        <v>60</v>
      </c>
      <c r="M16">
        <f t="shared" si="4"/>
        <v>15.649999999999991</v>
      </c>
      <c r="P16">
        <f t="shared" si="5"/>
        <v>-44.350000000000009</v>
      </c>
    </row>
    <row r="17" spans="2:16" x14ac:dyDescent="0.3">
      <c r="D17">
        <f t="shared" si="6"/>
        <v>0.43</v>
      </c>
      <c r="G17">
        <f t="shared" si="0"/>
        <v>0</v>
      </c>
      <c r="I17">
        <f t="shared" si="1"/>
        <v>0.43</v>
      </c>
      <c r="J17">
        <f t="shared" si="2"/>
        <v>0.64500000000000002</v>
      </c>
      <c r="K17">
        <f t="shared" si="3"/>
        <v>1.075</v>
      </c>
      <c r="M17">
        <f t="shared" si="4"/>
        <v>-1.075</v>
      </c>
      <c r="P17">
        <f t="shared" si="5"/>
        <v>-1.075</v>
      </c>
    </row>
    <row r="18" spans="2:16" x14ac:dyDescent="0.3">
      <c r="B18" t="s">
        <v>117</v>
      </c>
      <c r="C18">
        <v>25</v>
      </c>
      <c r="D18">
        <f t="shared" si="6"/>
        <v>10.75</v>
      </c>
      <c r="G18">
        <f t="shared" si="0"/>
        <v>0</v>
      </c>
      <c r="H18">
        <v>50</v>
      </c>
      <c r="I18">
        <f t="shared" si="1"/>
        <v>60.75</v>
      </c>
      <c r="J18">
        <f t="shared" si="2"/>
        <v>91.125</v>
      </c>
      <c r="K18">
        <f t="shared" si="3"/>
        <v>151.875</v>
      </c>
      <c r="L18">
        <v>200</v>
      </c>
      <c r="M18">
        <f t="shared" si="4"/>
        <v>48.125</v>
      </c>
      <c r="P18">
        <f t="shared" si="5"/>
        <v>-151.875</v>
      </c>
    </row>
    <row r="19" spans="2:16" x14ac:dyDescent="0.3">
      <c r="D19">
        <f t="shared" si="6"/>
        <v>0.43</v>
      </c>
      <c r="G19">
        <f t="shared" si="0"/>
        <v>0</v>
      </c>
      <c r="I19">
        <f t="shared" si="1"/>
        <v>0.43</v>
      </c>
      <c r="J19">
        <f t="shared" si="2"/>
        <v>0.64500000000000002</v>
      </c>
      <c r="K19">
        <f t="shared" si="3"/>
        <v>1.075</v>
      </c>
      <c r="M19">
        <f t="shared" si="4"/>
        <v>-1.075</v>
      </c>
      <c r="P19">
        <f t="shared" si="5"/>
        <v>-1.075</v>
      </c>
    </row>
    <row r="20" spans="2:16" x14ac:dyDescent="0.3">
      <c r="D20">
        <f t="shared" si="6"/>
        <v>0.43</v>
      </c>
      <c r="G20">
        <f t="shared" si="0"/>
        <v>0</v>
      </c>
      <c r="I20">
        <f t="shared" si="1"/>
        <v>0.43</v>
      </c>
      <c r="J20">
        <f t="shared" si="2"/>
        <v>0.64500000000000002</v>
      </c>
      <c r="K20">
        <f t="shared" si="3"/>
        <v>1.075</v>
      </c>
      <c r="M20">
        <f t="shared" si="4"/>
        <v>-1.075</v>
      </c>
      <c r="P20">
        <f t="shared" si="5"/>
        <v>-1.075</v>
      </c>
    </row>
    <row r="21" spans="2:16" x14ac:dyDescent="0.3">
      <c r="B21" t="s">
        <v>126</v>
      </c>
      <c r="C21">
        <v>80</v>
      </c>
      <c r="D21">
        <f t="shared" si="6"/>
        <v>34.4</v>
      </c>
      <c r="E21" t="s">
        <v>44</v>
      </c>
      <c r="F21">
        <v>4</v>
      </c>
      <c r="G21">
        <f t="shared" si="0"/>
        <v>12</v>
      </c>
      <c r="H21">
        <v>20</v>
      </c>
      <c r="I21">
        <f t="shared" si="1"/>
        <v>66.400000000000006</v>
      </c>
      <c r="J21">
        <f t="shared" si="2"/>
        <v>99.600000000000009</v>
      </c>
      <c r="K21">
        <f t="shared" si="3"/>
        <v>166</v>
      </c>
      <c r="L21">
        <v>300</v>
      </c>
      <c r="M21">
        <f t="shared" si="4"/>
        <v>134</v>
      </c>
      <c r="P21">
        <f t="shared" si="5"/>
        <v>-166</v>
      </c>
    </row>
    <row r="22" spans="2:16" x14ac:dyDescent="0.3">
      <c r="B22" t="s">
        <v>129</v>
      </c>
      <c r="C22">
        <v>160</v>
      </c>
      <c r="D22">
        <f t="shared" si="6"/>
        <v>68.8</v>
      </c>
      <c r="E22" t="s">
        <v>130</v>
      </c>
      <c r="F22">
        <v>4</v>
      </c>
      <c r="G22">
        <f t="shared" si="0"/>
        <v>12</v>
      </c>
      <c r="H22">
        <v>20</v>
      </c>
      <c r="I22">
        <f t="shared" si="1"/>
        <v>100.8</v>
      </c>
      <c r="J22">
        <f t="shared" si="2"/>
        <v>151.19999999999999</v>
      </c>
      <c r="K22">
        <f t="shared" si="3"/>
        <v>252</v>
      </c>
      <c r="L22">
        <v>400</v>
      </c>
      <c r="M22">
        <f t="shared" si="4"/>
        <v>148</v>
      </c>
      <c r="P22">
        <f t="shared" si="5"/>
        <v>-252</v>
      </c>
    </row>
    <row r="23" spans="2:16" x14ac:dyDescent="0.3">
      <c r="D23">
        <f t="shared" si="6"/>
        <v>0.43</v>
      </c>
      <c r="G23">
        <f t="shared" si="0"/>
        <v>0</v>
      </c>
      <c r="I23">
        <f t="shared" si="1"/>
        <v>0.43</v>
      </c>
      <c r="J23">
        <f t="shared" si="2"/>
        <v>0.64500000000000002</v>
      </c>
      <c r="K23">
        <f t="shared" si="3"/>
        <v>1.075</v>
      </c>
      <c r="M23">
        <f t="shared" si="4"/>
        <v>-1.075</v>
      </c>
      <c r="P23">
        <f t="shared" si="5"/>
        <v>-1.075</v>
      </c>
    </row>
    <row r="24" spans="2:16" x14ac:dyDescent="0.3">
      <c r="B24" t="s">
        <v>132</v>
      </c>
      <c r="C24">
        <v>10</v>
      </c>
      <c r="D24">
        <f t="shared" si="6"/>
        <v>4.3</v>
      </c>
      <c r="G24">
        <f t="shared" si="0"/>
        <v>0</v>
      </c>
      <c r="H24">
        <v>3</v>
      </c>
      <c r="I24">
        <f t="shared" si="1"/>
        <v>7.3</v>
      </c>
      <c r="J24">
        <f t="shared" si="2"/>
        <v>10.95</v>
      </c>
      <c r="K24">
        <f t="shared" si="3"/>
        <v>18.25</v>
      </c>
      <c r="L24">
        <v>25</v>
      </c>
      <c r="M24">
        <f t="shared" si="4"/>
        <v>6.75</v>
      </c>
      <c r="P24">
        <f t="shared" si="5"/>
        <v>-18.25</v>
      </c>
    </row>
    <row r="25" spans="2:16" x14ac:dyDescent="0.3">
      <c r="D25">
        <f t="shared" si="6"/>
        <v>0.43</v>
      </c>
      <c r="G25">
        <f t="shared" si="0"/>
        <v>0</v>
      </c>
      <c r="I25">
        <f t="shared" si="1"/>
        <v>0.43</v>
      </c>
      <c r="J25">
        <f t="shared" si="2"/>
        <v>0.64500000000000002</v>
      </c>
      <c r="K25">
        <f t="shared" si="3"/>
        <v>1.075</v>
      </c>
      <c r="M25">
        <f t="shared" si="4"/>
        <v>-1.075</v>
      </c>
      <c r="P25">
        <f t="shared" si="5"/>
        <v>-1.075</v>
      </c>
    </row>
    <row r="26" spans="2:16" x14ac:dyDescent="0.3">
      <c r="D26">
        <f t="shared" si="6"/>
        <v>0.43</v>
      </c>
      <c r="G26">
        <f t="shared" si="0"/>
        <v>0</v>
      </c>
      <c r="I26">
        <f t="shared" si="1"/>
        <v>0.43</v>
      </c>
      <c r="J26">
        <f t="shared" si="2"/>
        <v>0.64500000000000002</v>
      </c>
      <c r="K26">
        <f t="shared" si="3"/>
        <v>1.075</v>
      </c>
      <c r="M26">
        <f t="shared" si="4"/>
        <v>-1.075</v>
      </c>
      <c r="P26">
        <f t="shared" si="5"/>
        <v>-1.075</v>
      </c>
    </row>
    <row r="27" spans="2:16" x14ac:dyDescent="0.3">
      <c r="D27">
        <f t="shared" si="6"/>
        <v>0.43</v>
      </c>
      <c r="G27">
        <f t="shared" si="0"/>
        <v>0</v>
      </c>
      <c r="I27">
        <f t="shared" si="1"/>
        <v>0.43</v>
      </c>
      <c r="J27">
        <f t="shared" si="2"/>
        <v>0.64500000000000002</v>
      </c>
      <c r="K27">
        <f t="shared" si="3"/>
        <v>1.075</v>
      </c>
      <c r="M27">
        <f t="shared" si="4"/>
        <v>-1.075</v>
      </c>
      <c r="P27">
        <f t="shared" si="5"/>
        <v>-1.075</v>
      </c>
    </row>
    <row r="28" spans="2:16" x14ac:dyDescent="0.3">
      <c r="D28">
        <f t="shared" si="6"/>
        <v>0.43</v>
      </c>
      <c r="G28">
        <f t="shared" si="0"/>
        <v>0</v>
      </c>
      <c r="I28">
        <f t="shared" si="1"/>
        <v>0.43</v>
      </c>
      <c r="J28">
        <f t="shared" si="2"/>
        <v>0.64500000000000002</v>
      </c>
      <c r="K28">
        <f t="shared" si="3"/>
        <v>1.075</v>
      </c>
      <c r="M28">
        <f t="shared" si="4"/>
        <v>-1.075</v>
      </c>
      <c r="P28">
        <f t="shared" si="5"/>
        <v>-1.075</v>
      </c>
    </row>
    <row r="29" spans="2:16" x14ac:dyDescent="0.3">
      <c r="D29">
        <f t="shared" si="6"/>
        <v>0.43</v>
      </c>
      <c r="G29">
        <f t="shared" si="0"/>
        <v>0</v>
      </c>
      <c r="I29">
        <f t="shared" si="1"/>
        <v>0.43</v>
      </c>
      <c r="J29">
        <f t="shared" si="2"/>
        <v>0.64500000000000002</v>
      </c>
      <c r="K29">
        <f t="shared" si="3"/>
        <v>1.075</v>
      </c>
      <c r="M29">
        <f t="shared" si="4"/>
        <v>-1.075</v>
      </c>
      <c r="P29">
        <f t="shared" si="5"/>
        <v>-1.075</v>
      </c>
    </row>
    <row r="30" spans="2:16" x14ac:dyDescent="0.3">
      <c r="D30">
        <f t="shared" si="6"/>
        <v>0.43</v>
      </c>
      <c r="G30">
        <f t="shared" si="0"/>
        <v>0</v>
      </c>
      <c r="I30">
        <f t="shared" si="1"/>
        <v>0.43</v>
      </c>
      <c r="J30">
        <f t="shared" si="2"/>
        <v>0.64500000000000002</v>
      </c>
      <c r="K30">
        <f t="shared" si="3"/>
        <v>1.075</v>
      </c>
      <c r="M30">
        <f t="shared" si="4"/>
        <v>-1.075</v>
      </c>
      <c r="P30">
        <f t="shared" si="5"/>
        <v>-1.075</v>
      </c>
    </row>
    <row r="31" spans="2:16" x14ac:dyDescent="0.3">
      <c r="D31">
        <f t="shared" si="6"/>
        <v>0.43</v>
      </c>
      <c r="G31">
        <f t="shared" si="0"/>
        <v>0</v>
      </c>
      <c r="I31">
        <f t="shared" si="1"/>
        <v>0.43</v>
      </c>
      <c r="J31">
        <f t="shared" si="2"/>
        <v>0.64500000000000002</v>
      </c>
      <c r="K31">
        <f t="shared" si="3"/>
        <v>1.075</v>
      </c>
      <c r="M31">
        <f t="shared" si="4"/>
        <v>-1.075</v>
      </c>
      <c r="P31">
        <f t="shared" si="5"/>
        <v>-1.075</v>
      </c>
    </row>
    <row r="32" spans="2:16" x14ac:dyDescent="0.3">
      <c r="D32">
        <f t="shared" si="6"/>
        <v>0.43</v>
      </c>
      <c r="G32">
        <f t="shared" si="0"/>
        <v>0</v>
      </c>
      <c r="I32">
        <f t="shared" si="1"/>
        <v>0.43</v>
      </c>
      <c r="J32">
        <f t="shared" si="2"/>
        <v>0.64500000000000002</v>
      </c>
      <c r="K32">
        <f t="shared" si="3"/>
        <v>1.075</v>
      </c>
      <c r="M32">
        <f t="shared" si="4"/>
        <v>-1.075</v>
      </c>
      <c r="P32">
        <f t="shared" si="5"/>
        <v>-1.075</v>
      </c>
    </row>
    <row r="33" spans="4:16" x14ac:dyDescent="0.3">
      <c r="D33">
        <f t="shared" si="6"/>
        <v>0.43</v>
      </c>
      <c r="G33">
        <f t="shared" si="0"/>
        <v>0</v>
      </c>
      <c r="I33">
        <f t="shared" si="1"/>
        <v>0.43</v>
      </c>
      <c r="J33">
        <f t="shared" si="2"/>
        <v>0.64500000000000002</v>
      </c>
      <c r="K33">
        <f t="shared" si="3"/>
        <v>1.075</v>
      </c>
      <c r="M33">
        <f t="shared" si="4"/>
        <v>-1.075</v>
      </c>
      <c r="P33">
        <f t="shared" si="5"/>
        <v>-1.075</v>
      </c>
    </row>
    <row r="34" spans="4:16" x14ac:dyDescent="0.3">
      <c r="D34">
        <f t="shared" si="6"/>
        <v>0.43</v>
      </c>
      <c r="G34">
        <f t="shared" si="0"/>
        <v>0</v>
      </c>
      <c r="I34">
        <f t="shared" si="1"/>
        <v>0.43</v>
      </c>
      <c r="J34">
        <f t="shared" si="2"/>
        <v>0.64500000000000002</v>
      </c>
      <c r="K34">
        <f t="shared" si="3"/>
        <v>1.075</v>
      </c>
      <c r="M34">
        <f t="shared" si="4"/>
        <v>-1.075</v>
      </c>
      <c r="P34">
        <f t="shared" si="5"/>
        <v>-1.075</v>
      </c>
    </row>
    <row r="35" spans="4:16" x14ac:dyDescent="0.3">
      <c r="D35">
        <f t="shared" si="6"/>
        <v>0.43</v>
      </c>
      <c r="G35">
        <f t="shared" si="0"/>
        <v>0</v>
      </c>
      <c r="I35">
        <f t="shared" si="1"/>
        <v>0.43</v>
      </c>
      <c r="J35">
        <f t="shared" si="2"/>
        <v>0.64500000000000002</v>
      </c>
      <c r="K35">
        <f t="shared" si="3"/>
        <v>1.075</v>
      </c>
      <c r="M35">
        <f t="shared" si="4"/>
        <v>-1.075</v>
      </c>
      <c r="P35">
        <f t="shared" si="5"/>
        <v>-1.075</v>
      </c>
    </row>
    <row r="36" spans="4:16" x14ac:dyDescent="0.3">
      <c r="D36">
        <f t="shared" si="6"/>
        <v>0.43</v>
      </c>
      <c r="G36">
        <f t="shared" si="0"/>
        <v>0</v>
      </c>
      <c r="I36">
        <f t="shared" si="1"/>
        <v>0.43</v>
      </c>
      <c r="J36">
        <f t="shared" si="2"/>
        <v>0.64500000000000002</v>
      </c>
      <c r="K36">
        <f t="shared" si="3"/>
        <v>1.075</v>
      </c>
      <c r="M36">
        <f t="shared" si="4"/>
        <v>-1.075</v>
      </c>
      <c r="P36">
        <f t="shared" si="5"/>
        <v>-1.075</v>
      </c>
    </row>
    <row r="37" spans="4:16" x14ac:dyDescent="0.3">
      <c r="D37">
        <f t="shared" si="6"/>
        <v>0.43</v>
      </c>
      <c r="G37">
        <f t="shared" si="0"/>
        <v>0</v>
      </c>
      <c r="I37">
        <f t="shared" si="1"/>
        <v>0.43</v>
      </c>
      <c r="J37">
        <f t="shared" si="2"/>
        <v>0.64500000000000002</v>
      </c>
      <c r="K37">
        <f t="shared" si="3"/>
        <v>1.075</v>
      </c>
      <c r="M37">
        <f t="shared" si="4"/>
        <v>-1.075</v>
      </c>
      <c r="P37">
        <f t="shared" si="5"/>
        <v>-1.075</v>
      </c>
    </row>
    <row r="38" spans="4:16" x14ac:dyDescent="0.3">
      <c r="D38">
        <f t="shared" si="6"/>
        <v>0.43</v>
      </c>
      <c r="G38">
        <f t="shared" si="0"/>
        <v>0</v>
      </c>
      <c r="I38">
        <f t="shared" si="1"/>
        <v>0.43</v>
      </c>
      <c r="J38">
        <f t="shared" si="2"/>
        <v>0.64500000000000002</v>
      </c>
      <c r="K38">
        <f t="shared" si="3"/>
        <v>1.075</v>
      </c>
      <c r="M38">
        <f t="shared" si="4"/>
        <v>-1.075</v>
      </c>
      <c r="P38">
        <f t="shared" si="5"/>
        <v>-1.075</v>
      </c>
    </row>
    <row r="39" spans="4:16" x14ac:dyDescent="0.3">
      <c r="D39">
        <f t="shared" si="6"/>
        <v>0.43</v>
      </c>
      <c r="G39">
        <f t="shared" si="0"/>
        <v>0</v>
      </c>
      <c r="I39">
        <f t="shared" si="1"/>
        <v>0.43</v>
      </c>
      <c r="J39">
        <f t="shared" si="2"/>
        <v>0.64500000000000002</v>
      </c>
      <c r="K39">
        <f t="shared" si="3"/>
        <v>1.075</v>
      </c>
      <c r="M39">
        <f t="shared" si="4"/>
        <v>-1.075</v>
      </c>
      <c r="P39">
        <f t="shared" si="5"/>
        <v>-1.075</v>
      </c>
    </row>
    <row r="40" spans="4:16" x14ac:dyDescent="0.3">
      <c r="D40">
        <f t="shared" si="6"/>
        <v>0.43</v>
      </c>
      <c r="G40">
        <f t="shared" si="0"/>
        <v>0</v>
      </c>
      <c r="I40">
        <f t="shared" si="1"/>
        <v>0.43</v>
      </c>
      <c r="J40">
        <f t="shared" si="2"/>
        <v>0.64500000000000002</v>
      </c>
      <c r="K40">
        <f t="shared" si="3"/>
        <v>1.075</v>
      </c>
      <c r="M40">
        <f t="shared" si="4"/>
        <v>-1.075</v>
      </c>
      <c r="P40">
        <f t="shared" si="5"/>
        <v>-1.075</v>
      </c>
    </row>
    <row r="41" spans="4:16" x14ac:dyDescent="0.3">
      <c r="P41">
        <f t="shared" si="5"/>
        <v>0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3D330-0366-4D9F-BF62-BC4731668780}">
  <dimension ref="A1:AC27"/>
  <sheetViews>
    <sheetView topLeftCell="D1" zoomScale="85" zoomScaleNormal="85" workbookViewId="0">
      <selection activeCell="R26" sqref="R26"/>
    </sheetView>
  </sheetViews>
  <sheetFormatPr defaultRowHeight="14.4" x14ac:dyDescent="0.3"/>
  <cols>
    <col min="1" max="1" width="10.109375" customWidth="1"/>
    <col min="2" max="2" width="15.5546875" customWidth="1"/>
    <col min="3" max="3" width="12.77734375" customWidth="1"/>
    <col min="4" max="4" width="14.5546875" customWidth="1"/>
    <col min="5" max="5" width="13.5546875" customWidth="1"/>
    <col min="6" max="7" width="10.109375" customWidth="1"/>
    <col min="8" max="8" width="13" customWidth="1"/>
    <col min="9" max="9" width="12.21875" customWidth="1"/>
    <col min="10" max="10" width="10.109375" customWidth="1"/>
    <col min="11" max="11" width="15.109375" customWidth="1"/>
    <col min="12" max="12" width="15.6640625" customWidth="1"/>
    <col min="13" max="14" width="11.109375" customWidth="1"/>
    <col min="18" max="18" width="14.88671875" customWidth="1"/>
    <col min="19" max="19" width="14.77734375" customWidth="1"/>
    <col min="20" max="20" width="10.33203125" customWidth="1"/>
    <col min="21" max="21" width="16.109375" customWidth="1"/>
    <col min="22" max="22" width="16.5546875" customWidth="1"/>
    <col min="23" max="23" width="16.44140625" customWidth="1"/>
  </cols>
  <sheetData>
    <row r="1" spans="1:29" x14ac:dyDescent="0.3">
      <c r="A1" t="s">
        <v>63</v>
      </c>
      <c r="B1" t="s">
        <v>68</v>
      </c>
      <c r="C1" t="s">
        <v>64</v>
      </c>
      <c r="D1" t="s">
        <v>69</v>
      </c>
      <c r="E1" t="s">
        <v>71</v>
      </c>
      <c r="F1" t="s">
        <v>70</v>
      </c>
      <c r="G1" t="s">
        <v>72</v>
      </c>
      <c r="H1" t="s">
        <v>73</v>
      </c>
      <c r="I1" t="s">
        <v>84</v>
      </c>
      <c r="J1" t="s">
        <v>65</v>
      </c>
      <c r="K1" t="s">
        <v>66</v>
      </c>
      <c r="L1" t="s">
        <v>67</v>
      </c>
      <c r="M1" t="s">
        <v>74</v>
      </c>
      <c r="N1" t="s">
        <v>75</v>
      </c>
      <c r="O1" t="s">
        <v>76</v>
      </c>
      <c r="P1" t="s">
        <v>96</v>
      </c>
      <c r="V1" s="4" t="s">
        <v>63</v>
      </c>
      <c r="W1" s="4" t="s">
        <v>118</v>
      </c>
      <c r="X1" s="4" t="s">
        <v>119</v>
      </c>
      <c r="Y1" s="4" t="s">
        <v>120</v>
      </c>
      <c r="Z1" s="4" t="s">
        <v>121</v>
      </c>
      <c r="AA1" s="4" t="s">
        <v>41</v>
      </c>
      <c r="AB1" s="4" t="s">
        <v>27</v>
      </c>
      <c r="AC1" s="4" t="s">
        <v>115</v>
      </c>
    </row>
    <row r="2" spans="1:29" x14ac:dyDescent="0.3">
      <c r="A2">
        <v>101</v>
      </c>
      <c r="B2" t="s">
        <v>80</v>
      </c>
      <c r="D2" t="s">
        <v>81</v>
      </c>
      <c r="E2" t="s">
        <v>82</v>
      </c>
      <c r="F2">
        <v>1</v>
      </c>
      <c r="G2" t="s">
        <v>79</v>
      </c>
      <c r="H2" s="3">
        <v>46065</v>
      </c>
      <c r="I2" t="s">
        <v>86</v>
      </c>
      <c r="J2">
        <v>150</v>
      </c>
      <c r="K2">
        <f>IF(OR(I2="None", I2=""), 0, IF(I2="COD", 0, J2*0.5))</f>
        <v>75</v>
      </c>
      <c r="L2">
        <v>150</v>
      </c>
      <c r="M2">
        <f t="shared" ref="M2:M26" si="0">IF(J2="", "", J2-L2)</f>
        <v>0</v>
      </c>
      <c r="N2" t="s">
        <v>83</v>
      </c>
      <c r="O2" t="str">
        <f t="shared" ref="O2:O27" si="1">IF(J2="", "", IF(I2="None", "Select Type", IF(M2&lt;=0, "Fully Paid", IF(I2="COD", "Confirmed (COD)", IF(L2&gt;=K2, "Confirmed (Processing)", "WAITING FOR DP")))))</f>
        <v>Fully Paid</v>
      </c>
      <c r="P2" t="s">
        <v>97</v>
      </c>
      <c r="V2" s="5">
        <v>101</v>
      </c>
      <c r="W2" s="5" t="s">
        <v>81</v>
      </c>
      <c r="X2" s="5">
        <v>1</v>
      </c>
      <c r="Y2" s="5">
        <v>150</v>
      </c>
      <c r="Z2" s="5">
        <v>36.75</v>
      </c>
      <c r="AA2" s="5">
        <v>55.12</v>
      </c>
      <c r="AB2" s="5">
        <v>91.88</v>
      </c>
      <c r="AC2" s="5">
        <v>58.12</v>
      </c>
    </row>
    <row r="3" spans="1:29" x14ac:dyDescent="0.3">
      <c r="A3">
        <v>102</v>
      </c>
      <c r="B3" t="s">
        <v>77</v>
      </c>
      <c r="D3" t="s">
        <v>53</v>
      </c>
      <c r="E3" t="s">
        <v>78</v>
      </c>
      <c r="F3">
        <v>1</v>
      </c>
      <c r="G3" t="s">
        <v>79</v>
      </c>
      <c r="I3" t="s">
        <v>85</v>
      </c>
      <c r="J3">
        <v>250</v>
      </c>
      <c r="K3">
        <v>0</v>
      </c>
      <c r="L3">
        <v>250</v>
      </c>
      <c r="M3">
        <f t="shared" si="0"/>
        <v>0</v>
      </c>
      <c r="N3" t="s">
        <v>85</v>
      </c>
      <c r="O3" t="str">
        <f t="shared" si="1"/>
        <v>Fully Paid</v>
      </c>
      <c r="P3" t="s">
        <v>133</v>
      </c>
      <c r="V3" s="5">
        <v>102</v>
      </c>
      <c r="W3" s="5" t="s">
        <v>53</v>
      </c>
      <c r="X3" s="5">
        <v>1</v>
      </c>
      <c r="Y3" s="5">
        <v>250</v>
      </c>
      <c r="Z3" s="5">
        <v>50.5</v>
      </c>
      <c r="AA3" s="5">
        <v>75.75</v>
      </c>
      <c r="AB3" s="5">
        <v>126.25</v>
      </c>
      <c r="AC3" s="5">
        <v>123.75</v>
      </c>
    </row>
    <row r="4" spans="1:29" x14ac:dyDescent="0.3">
      <c r="A4">
        <v>103</v>
      </c>
      <c r="B4" t="s">
        <v>98</v>
      </c>
      <c r="D4" t="s">
        <v>99</v>
      </c>
      <c r="E4" t="s">
        <v>82</v>
      </c>
      <c r="F4">
        <v>3</v>
      </c>
      <c r="G4" t="s">
        <v>79</v>
      </c>
      <c r="H4" s="3">
        <v>46065</v>
      </c>
      <c r="I4" t="s">
        <v>85</v>
      </c>
      <c r="J4">
        <v>180</v>
      </c>
      <c r="K4">
        <v>0</v>
      </c>
      <c r="L4">
        <v>180</v>
      </c>
      <c r="M4">
        <f t="shared" si="0"/>
        <v>0</v>
      </c>
      <c r="N4" t="s">
        <v>85</v>
      </c>
      <c r="O4" t="str">
        <f t="shared" si="1"/>
        <v>Fully Paid</v>
      </c>
      <c r="P4" t="s">
        <v>133</v>
      </c>
      <c r="V4" s="5">
        <v>103</v>
      </c>
      <c r="W4" s="5" t="s">
        <v>99</v>
      </c>
      <c r="X4" s="5">
        <v>3</v>
      </c>
      <c r="Y4" s="5">
        <v>180</v>
      </c>
      <c r="Z4" s="5">
        <v>30.45</v>
      </c>
      <c r="AA4" s="5">
        <v>45.68</v>
      </c>
      <c r="AB4" s="5">
        <v>76.13</v>
      </c>
      <c r="AC4" s="5">
        <v>103.88</v>
      </c>
    </row>
    <row r="5" spans="1:29" x14ac:dyDescent="0.3">
      <c r="A5">
        <v>104</v>
      </c>
      <c r="B5" t="s">
        <v>98</v>
      </c>
      <c r="D5" t="s">
        <v>99</v>
      </c>
      <c r="E5" t="s">
        <v>101</v>
      </c>
      <c r="F5">
        <v>1</v>
      </c>
      <c r="G5" t="s">
        <v>79</v>
      </c>
      <c r="H5" s="3">
        <v>46065</v>
      </c>
      <c r="I5" t="s">
        <v>85</v>
      </c>
      <c r="J5">
        <v>60</v>
      </c>
      <c r="K5">
        <v>0</v>
      </c>
      <c r="L5">
        <v>60</v>
      </c>
      <c r="M5">
        <f t="shared" si="0"/>
        <v>0</v>
      </c>
      <c r="N5" t="s">
        <v>85</v>
      </c>
      <c r="O5" t="str">
        <f t="shared" si="1"/>
        <v>Fully Paid</v>
      </c>
      <c r="P5" t="s">
        <v>133</v>
      </c>
      <c r="V5" s="5">
        <v>104</v>
      </c>
      <c r="W5" s="5" t="s">
        <v>99</v>
      </c>
      <c r="X5" s="5">
        <v>1</v>
      </c>
      <c r="Y5" s="5">
        <v>60</v>
      </c>
      <c r="Z5" s="5">
        <v>10.15</v>
      </c>
      <c r="AA5" s="5">
        <v>15.23</v>
      </c>
      <c r="AB5" s="5">
        <v>25.38</v>
      </c>
      <c r="AC5" s="5">
        <v>34.619999999999997</v>
      </c>
    </row>
    <row r="6" spans="1:29" x14ac:dyDescent="0.3">
      <c r="A6">
        <v>115</v>
      </c>
      <c r="B6" t="s">
        <v>102</v>
      </c>
      <c r="D6" t="s">
        <v>53</v>
      </c>
      <c r="E6" t="s">
        <v>78</v>
      </c>
      <c r="F6">
        <v>1</v>
      </c>
      <c r="G6" t="s">
        <v>60</v>
      </c>
      <c r="H6" s="3">
        <v>46065</v>
      </c>
      <c r="I6" t="s">
        <v>85</v>
      </c>
      <c r="J6">
        <v>350</v>
      </c>
      <c r="K6">
        <v>0</v>
      </c>
      <c r="L6">
        <v>0</v>
      </c>
      <c r="M6">
        <f t="shared" si="0"/>
        <v>350</v>
      </c>
      <c r="N6" t="s">
        <v>85</v>
      </c>
      <c r="O6" t="str">
        <f t="shared" si="1"/>
        <v>Confirmed (COD)</v>
      </c>
      <c r="P6" t="s">
        <v>100</v>
      </c>
      <c r="R6" t="s">
        <v>111</v>
      </c>
      <c r="S6" t="s">
        <v>112</v>
      </c>
      <c r="V6" s="5">
        <v>105</v>
      </c>
      <c r="W6" s="5" t="s">
        <v>53</v>
      </c>
      <c r="X6" s="5">
        <v>1</v>
      </c>
      <c r="Y6" s="5">
        <v>350</v>
      </c>
      <c r="Z6" s="5">
        <v>69.099999999999994</v>
      </c>
      <c r="AA6" s="5">
        <v>103.65</v>
      </c>
      <c r="AB6" s="5">
        <v>172.75</v>
      </c>
      <c r="AC6" s="5">
        <v>177.25</v>
      </c>
    </row>
    <row r="7" spans="1:29" x14ac:dyDescent="0.3">
      <c r="A7">
        <v>106</v>
      </c>
      <c r="B7" t="s">
        <v>103</v>
      </c>
      <c r="D7" t="s">
        <v>87</v>
      </c>
      <c r="E7" t="s">
        <v>78</v>
      </c>
      <c r="F7">
        <v>1</v>
      </c>
      <c r="G7" t="s">
        <v>79</v>
      </c>
      <c r="H7" s="3">
        <v>46065</v>
      </c>
      <c r="I7" t="s">
        <v>85</v>
      </c>
      <c r="J7">
        <v>150</v>
      </c>
      <c r="K7">
        <v>0</v>
      </c>
      <c r="L7">
        <v>0</v>
      </c>
      <c r="M7">
        <f t="shared" si="0"/>
        <v>150</v>
      </c>
      <c r="N7" t="s">
        <v>85</v>
      </c>
      <c r="O7" t="str">
        <f t="shared" si="1"/>
        <v>Confirmed (COD)</v>
      </c>
      <c r="P7" t="s">
        <v>100</v>
      </c>
      <c r="R7" t="s">
        <v>114</v>
      </c>
      <c r="S7">
        <v>2110</v>
      </c>
      <c r="V7" s="5">
        <v>106</v>
      </c>
      <c r="W7" s="5" t="s">
        <v>87</v>
      </c>
      <c r="X7" s="5">
        <v>1</v>
      </c>
      <c r="Y7" s="5">
        <v>150</v>
      </c>
      <c r="Z7" s="5">
        <v>36.75</v>
      </c>
      <c r="AA7" s="5">
        <v>55.12</v>
      </c>
      <c r="AB7" s="5">
        <v>91.88</v>
      </c>
      <c r="AC7" s="5">
        <v>58.12</v>
      </c>
    </row>
    <row r="8" spans="1:29" x14ac:dyDescent="0.3">
      <c r="A8">
        <v>107</v>
      </c>
      <c r="B8" t="s">
        <v>103</v>
      </c>
      <c r="D8" t="s">
        <v>53</v>
      </c>
      <c r="E8" t="s">
        <v>78</v>
      </c>
      <c r="F8">
        <v>1</v>
      </c>
      <c r="G8" t="s">
        <v>79</v>
      </c>
      <c r="H8" s="3">
        <v>46065</v>
      </c>
      <c r="I8" t="s">
        <v>85</v>
      </c>
      <c r="J8">
        <v>250</v>
      </c>
      <c r="K8">
        <v>0</v>
      </c>
      <c r="L8">
        <v>0</v>
      </c>
      <c r="M8">
        <f t="shared" si="0"/>
        <v>250</v>
      </c>
      <c r="N8" t="s">
        <v>85</v>
      </c>
      <c r="O8" t="str">
        <f t="shared" si="1"/>
        <v>Confirmed (COD)</v>
      </c>
      <c r="P8" t="s">
        <v>100</v>
      </c>
      <c r="R8" t="s">
        <v>50</v>
      </c>
      <c r="S8">
        <f>SUM(J1:J20)</f>
        <v>3940</v>
      </c>
      <c r="V8" s="5">
        <v>107</v>
      </c>
      <c r="W8" s="5" t="s">
        <v>53</v>
      </c>
      <c r="X8" s="5">
        <v>1</v>
      </c>
      <c r="Y8" s="5">
        <v>250</v>
      </c>
      <c r="Z8" s="5">
        <v>50.5</v>
      </c>
      <c r="AA8" s="5">
        <v>75.75</v>
      </c>
      <c r="AB8" s="5">
        <v>126.25</v>
      </c>
      <c r="AC8" s="5">
        <v>123.75</v>
      </c>
    </row>
    <row r="9" spans="1:29" x14ac:dyDescent="0.3">
      <c r="A9">
        <v>108</v>
      </c>
      <c r="B9" t="s">
        <v>105</v>
      </c>
      <c r="D9" t="s">
        <v>116</v>
      </c>
      <c r="E9" t="s">
        <v>106</v>
      </c>
      <c r="H9" s="3">
        <v>46058</v>
      </c>
      <c r="I9" t="s">
        <v>85</v>
      </c>
      <c r="J9">
        <v>200</v>
      </c>
      <c r="K9">
        <v>0</v>
      </c>
      <c r="L9">
        <v>200</v>
      </c>
      <c r="M9">
        <f t="shared" si="0"/>
        <v>0</v>
      </c>
      <c r="N9" t="s">
        <v>85</v>
      </c>
      <c r="O9" t="str">
        <f t="shared" si="1"/>
        <v>Fully Paid</v>
      </c>
      <c r="P9" t="s">
        <v>133</v>
      </c>
      <c r="R9" t="s">
        <v>123</v>
      </c>
      <c r="S9">
        <v>1904</v>
      </c>
      <c r="V9" s="5">
        <v>108</v>
      </c>
      <c r="W9" s="5" t="s">
        <v>116</v>
      </c>
      <c r="X9" s="5">
        <v>1</v>
      </c>
      <c r="Y9" s="5">
        <v>200</v>
      </c>
      <c r="Z9" s="5">
        <v>60.75</v>
      </c>
      <c r="AA9" s="5">
        <v>91.13</v>
      </c>
      <c r="AB9" s="5">
        <v>151.88</v>
      </c>
      <c r="AC9" s="5">
        <v>48.12</v>
      </c>
    </row>
    <row r="10" spans="1:29" x14ac:dyDescent="0.3">
      <c r="A10">
        <v>109</v>
      </c>
      <c r="B10" t="s">
        <v>125</v>
      </c>
      <c r="D10" t="s">
        <v>107</v>
      </c>
      <c r="E10" t="s">
        <v>109</v>
      </c>
      <c r="F10">
        <v>10</v>
      </c>
      <c r="G10" t="s">
        <v>110</v>
      </c>
      <c r="H10" s="3">
        <v>46060</v>
      </c>
      <c r="I10" t="s">
        <v>85</v>
      </c>
      <c r="J10">
        <v>400</v>
      </c>
      <c r="K10">
        <v>0</v>
      </c>
      <c r="L10">
        <v>400</v>
      </c>
      <c r="M10">
        <f t="shared" si="0"/>
        <v>0</v>
      </c>
      <c r="N10" t="s">
        <v>85</v>
      </c>
      <c r="O10" t="str">
        <f t="shared" si="1"/>
        <v>Fully Paid</v>
      </c>
      <c r="P10" t="s">
        <v>133</v>
      </c>
      <c r="R10" t="s">
        <v>122</v>
      </c>
      <c r="S10">
        <f>SUM(Z1:Z20)</f>
        <v>446.45</v>
      </c>
      <c r="V10" s="5">
        <v>109</v>
      </c>
      <c r="W10" s="5" t="s">
        <v>107</v>
      </c>
      <c r="X10" s="5">
        <v>10</v>
      </c>
      <c r="Y10" s="5">
        <v>400</v>
      </c>
      <c r="Z10" s="5">
        <v>101.5</v>
      </c>
      <c r="AA10" s="5">
        <v>152.25</v>
      </c>
      <c r="AB10" s="5">
        <v>253.75</v>
      </c>
      <c r="AC10" s="5">
        <v>146.25</v>
      </c>
    </row>
    <row r="11" spans="1:29" x14ac:dyDescent="0.3">
      <c r="A11">
        <v>110</v>
      </c>
      <c r="B11" t="s">
        <v>125</v>
      </c>
      <c r="D11" t="s">
        <v>53</v>
      </c>
      <c r="E11" t="s">
        <v>78</v>
      </c>
      <c r="F11">
        <v>2</v>
      </c>
      <c r="G11" t="s">
        <v>127</v>
      </c>
      <c r="H11" s="3">
        <v>46060</v>
      </c>
      <c r="I11" t="s">
        <v>85</v>
      </c>
      <c r="J11">
        <v>400</v>
      </c>
      <c r="K11">
        <v>0</v>
      </c>
      <c r="L11">
        <v>400</v>
      </c>
      <c r="M11">
        <f>IF(J11="", "", J11-L11)</f>
        <v>0</v>
      </c>
      <c r="N11" t="s">
        <v>85</v>
      </c>
      <c r="O11" t="str">
        <f t="shared" si="1"/>
        <v>Fully Paid</v>
      </c>
      <c r="P11" t="s">
        <v>133</v>
      </c>
      <c r="R11" t="s">
        <v>41</v>
      </c>
      <c r="S11">
        <f>SUM(AA1:AA10)</f>
        <v>669.68000000000006</v>
      </c>
    </row>
    <row r="12" spans="1:29" x14ac:dyDescent="0.3">
      <c r="A12">
        <v>111</v>
      </c>
      <c r="B12" t="s">
        <v>125</v>
      </c>
      <c r="D12" t="s">
        <v>87</v>
      </c>
      <c r="E12" t="s">
        <v>78</v>
      </c>
      <c r="F12">
        <v>2</v>
      </c>
      <c r="G12" t="s">
        <v>79</v>
      </c>
      <c r="H12" s="3">
        <v>46060</v>
      </c>
      <c r="I12" t="s">
        <v>85</v>
      </c>
      <c r="J12">
        <v>240</v>
      </c>
      <c r="K12">
        <v>0</v>
      </c>
      <c r="L12">
        <v>240</v>
      </c>
      <c r="M12">
        <f t="shared" si="0"/>
        <v>0</v>
      </c>
      <c r="N12" t="s">
        <v>85</v>
      </c>
      <c r="O12" t="str">
        <f t="shared" si="1"/>
        <v>Fully Paid</v>
      </c>
      <c r="P12" t="s">
        <v>133</v>
      </c>
      <c r="R12" t="s">
        <v>115</v>
      </c>
      <c r="S12">
        <f>(S8-S10-S11)</f>
        <v>2823.87</v>
      </c>
    </row>
    <row r="13" spans="1:29" x14ac:dyDescent="0.3">
      <c r="A13">
        <v>112</v>
      </c>
      <c r="B13" t="s">
        <v>128</v>
      </c>
      <c r="D13" t="s">
        <v>126</v>
      </c>
      <c r="E13" t="s">
        <v>78</v>
      </c>
      <c r="F13">
        <v>1</v>
      </c>
      <c r="H13" s="3">
        <v>46066</v>
      </c>
      <c r="I13" t="s">
        <v>85</v>
      </c>
      <c r="J13">
        <v>300</v>
      </c>
      <c r="K13">
        <v>0</v>
      </c>
      <c r="L13">
        <v>0</v>
      </c>
      <c r="M13">
        <f t="shared" si="0"/>
        <v>300</v>
      </c>
      <c r="N13" t="s">
        <v>85</v>
      </c>
      <c r="O13" t="str">
        <f t="shared" si="1"/>
        <v>Confirmed (COD)</v>
      </c>
      <c r="R13" t="s">
        <v>124</v>
      </c>
      <c r="S13">
        <f>(S12-S7)</f>
        <v>713.86999999999989</v>
      </c>
    </row>
    <row r="14" spans="1:29" x14ac:dyDescent="0.3">
      <c r="A14">
        <v>113</v>
      </c>
      <c r="B14" t="s">
        <v>128</v>
      </c>
      <c r="D14" t="s">
        <v>126</v>
      </c>
      <c r="E14" t="s">
        <v>78</v>
      </c>
      <c r="F14">
        <v>1</v>
      </c>
      <c r="H14" s="3">
        <v>46066</v>
      </c>
      <c r="I14" t="s">
        <v>85</v>
      </c>
      <c r="J14">
        <v>400</v>
      </c>
      <c r="K14">
        <v>0</v>
      </c>
      <c r="L14">
        <v>0</v>
      </c>
      <c r="M14">
        <f t="shared" si="0"/>
        <v>400</v>
      </c>
      <c r="N14" t="s">
        <v>85</v>
      </c>
      <c r="O14" t="str">
        <f t="shared" si="1"/>
        <v>Confirmed (COD)</v>
      </c>
      <c r="U14" t="s">
        <v>111</v>
      </c>
      <c r="V14" t="s">
        <v>112</v>
      </c>
    </row>
    <row r="15" spans="1:29" x14ac:dyDescent="0.3">
      <c r="A15">
        <v>114</v>
      </c>
      <c r="B15" t="s">
        <v>128</v>
      </c>
      <c r="D15" t="s">
        <v>126</v>
      </c>
      <c r="E15" t="s">
        <v>78</v>
      </c>
      <c r="F15">
        <v>1</v>
      </c>
      <c r="H15" s="3">
        <v>46066</v>
      </c>
      <c r="I15" t="s">
        <v>85</v>
      </c>
      <c r="J15">
        <v>230</v>
      </c>
      <c r="K15">
        <v>0</v>
      </c>
      <c r="L15">
        <v>0</v>
      </c>
      <c r="M15">
        <f t="shared" si="0"/>
        <v>230</v>
      </c>
      <c r="N15" t="s">
        <v>85</v>
      </c>
      <c r="O15" t="str">
        <f t="shared" si="1"/>
        <v>Confirmed (COD)</v>
      </c>
      <c r="U15" t="s">
        <v>114</v>
      </c>
      <c r="V15">
        <v>2110</v>
      </c>
    </row>
    <row r="16" spans="1:29" x14ac:dyDescent="0.3">
      <c r="A16">
        <v>115</v>
      </c>
      <c r="B16" t="s">
        <v>128</v>
      </c>
      <c r="D16" t="s">
        <v>99</v>
      </c>
      <c r="E16" t="s">
        <v>78</v>
      </c>
      <c r="F16">
        <v>1</v>
      </c>
      <c r="G16" t="s">
        <v>131</v>
      </c>
      <c r="H16" s="3">
        <v>46066</v>
      </c>
      <c r="I16" t="s">
        <v>85</v>
      </c>
      <c r="J16">
        <v>80</v>
      </c>
      <c r="K16">
        <v>0</v>
      </c>
      <c r="L16">
        <v>0</v>
      </c>
      <c r="M16">
        <f t="shared" si="0"/>
        <v>80</v>
      </c>
      <c r="N16" t="s">
        <v>85</v>
      </c>
      <c r="O16" t="str">
        <f t="shared" si="1"/>
        <v>Confirmed (COD)</v>
      </c>
      <c r="U16" t="s">
        <v>50</v>
      </c>
      <c r="V16">
        <v>765</v>
      </c>
    </row>
    <row r="17" spans="1:22" x14ac:dyDescent="0.3">
      <c r="A17">
        <v>116</v>
      </c>
      <c r="B17" t="s">
        <v>77</v>
      </c>
      <c r="D17" t="s">
        <v>81</v>
      </c>
      <c r="E17" t="s">
        <v>78</v>
      </c>
      <c r="F17">
        <v>1</v>
      </c>
      <c r="H17" s="3">
        <v>46066</v>
      </c>
      <c r="I17" t="s">
        <v>85</v>
      </c>
      <c r="J17">
        <v>150</v>
      </c>
      <c r="K17">
        <v>0</v>
      </c>
      <c r="L17">
        <v>0</v>
      </c>
      <c r="M17">
        <f t="shared" si="0"/>
        <v>150</v>
      </c>
      <c r="N17" t="s">
        <v>85</v>
      </c>
      <c r="O17" t="str">
        <f t="shared" si="1"/>
        <v>Confirmed (COD)</v>
      </c>
      <c r="U17" t="s">
        <v>123</v>
      </c>
      <c r="V17">
        <v>1904</v>
      </c>
    </row>
    <row r="18" spans="1:22" x14ac:dyDescent="0.3">
      <c r="A18">
        <v>117</v>
      </c>
      <c r="B18" t="s">
        <v>134</v>
      </c>
      <c r="D18" t="s">
        <v>87</v>
      </c>
      <c r="E18" t="s">
        <v>78</v>
      </c>
      <c r="F18">
        <v>1</v>
      </c>
      <c r="H18" s="3">
        <v>46065</v>
      </c>
      <c r="I18" t="s">
        <v>85</v>
      </c>
      <c r="J18">
        <v>150</v>
      </c>
      <c r="K18">
        <v>0</v>
      </c>
      <c r="L18">
        <v>150</v>
      </c>
      <c r="M18">
        <f t="shared" si="0"/>
        <v>0</v>
      </c>
      <c r="N18" t="s">
        <v>136</v>
      </c>
      <c r="O18" t="str">
        <f t="shared" si="1"/>
        <v>Fully Paid</v>
      </c>
      <c r="P18" t="s">
        <v>133</v>
      </c>
      <c r="U18" t="s">
        <v>122</v>
      </c>
      <c r="V18">
        <f>SUM(AC9:AC28)</f>
        <v>194.37</v>
      </c>
    </row>
    <row r="19" spans="1:22" x14ac:dyDescent="0.3">
      <c r="M19" t="str">
        <f t="shared" si="0"/>
        <v/>
      </c>
      <c r="O19" t="str">
        <f t="shared" si="1"/>
        <v/>
      </c>
      <c r="U19" t="s">
        <v>41</v>
      </c>
      <c r="V19">
        <f>SUM(AA1:AA5)</f>
        <v>191.78</v>
      </c>
    </row>
    <row r="20" spans="1:22" x14ac:dyDescent="0.3">
      <c r="M20" t="str">
        <f t="shared" si="0"/>
        <v/>
      </c>
      <c r="O20" t="str">
        <f t="shared" si="1"/>
        <v/>
      </c>
      <c r="U20" t="s">
        <v>115</v>
      </c>
      <c r="V20">
        <f>(V16-V18-V19)</f>
        <v>378.85</v>
      </c>
    </row>
    <row r="21" spans="1:22" x14ac:dyDescent="0.3">
      <c r="M21" t="str">
        <f t="shared" si="0"/>
        <v/>
      </c>
      <c r="O21" t="str">
        <f t="shared" si="1"/>
        <v/>
      </c>
      <c r="U21" t="s">
        <v>124</v>
      </c>
      <c r="V21">
        <f>(V20-V15)</f>
        <v>-1731.15</v>
      </c>
    </row>
    <row r="22" spans="1:22" x14ac:dyDescent="0.3">
      <c r="M22" t="str">
        <f t="shared" si="0"/>
        <v/>
      </c>
      <c r="O22" t="str">
        <f t="shared" si="1"/>
        <v/>
      </c>
      <c r="R22" t="s">
        <v>135</v>
      </c>
      <c r="S22">
        <f>SUM(L1:L50)</f>
        <v>2030</v>
      </c>
    </row>
    <row r="23" spans="1:22" x14ac:dyDescent="0.3">
      <c r="M23" t="str">
        <f t="shared" si="0"/>
        <v/>
      </c>
      <c r="O23" t="str">
        <f t="shared" si="1"/>
        <v/>
      </c>
    </row>
    <row r="24" spans="1:22" x14ac:dyDescent="0.3">
      <c r="M24" t="str">
        <f t="shared" si="0"/>
        <v/>
      </c>
      <c r="O24" t="str">
        <f t="shared" si="1"/>
        <v/>
      </c>
    </row>
    <row r="25" spans="1:22" x14ac:dyDescent="0.3">
      <c r="M25" t="str">
        <f t="shared" si="0"/>
        <v/>
      </c>
      <c r="O25" t="str">
        <f t="shared" si="1"/>
        <v/>
      </c>
    </row>
    <row r="26" spans="1:22" x14ac:dyDescent="0.3">
      <c r="M26" t="str">
        <f t="shared" si="0"/>
        <v/>
      </c>
      <c r="O26" t="str">
        <f t="shared" si="1"/>
        <v/>
      </c>
      <c r="R26">
        <f>SUM(J1:J30)</f>
        <v>3940</v>
      </c>
    </row>
    <row r="27" spans="1:22" x14ac:dyDescent="0.3">
      <c r="M27" t="str">
        <f>IF(J27="", "", J27-L27)</f>
        <v/>
      </c>
      <c r="O27" t="str">
        <f t="shared" si="1"/>
        <v/>
      </c>
    </row>
  </sheetData>
  <dataValidations count="2">
    <dataValidation type="list" allowBlank="1" showInputMessage="1" showErrorMessage="1" sqref="I2:I27" xr:uid="{6222CFC9-F83D-4E12-A468-022B8FA324D1}">
      <formula1>"COD, Pre-Order, None"</formula1>
    </dataValidation>
    <dataValidation type="custom" allowBlank="1" showDropDown="1" sqref="V2:V10 X2:AC10" xr:uid="{A82A68FC-ACCC-4769-96EF-782B86B496F5}">
      <formula1>AND(ISNUMBER(V2),(NOT(OR(NOT(ISERROR(DATEVALUE(V2))), AND(ISNUMBER(V2), LEFT(CELL("format", V2))="D")))))</formula1>
    </dataValidation>
  </dataValidation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FF9FC-4807-4D3A-B77E-FAB86235C7C2}">
  <dimension ref="A1:L36"/>
  <sheetViews>
    <sheetView zoomScale="70" zoomScaleNormal="70" workbookViewId="0">
      <selection activeCell="K35" sqref="K35"/>
    </sheetView>
  </sheetViews>
  <sheetFormatPr defaultRowHeight="14.4" x14ac:dyDescent="0.3"/>
  <cols>
    <col min="1" max="1" width="22.33203125" customWidth="1"/>
    <col min="2" max="2" width="25.88671875" customWidth="1"/>
    <col min="3" max="3" width="27.44140625" customWidth="1"/>
    <col min="4" max="4" width="27.5546875" customWidth="1"/>
    <col min="5" max="5" width="25.21875" customWidth="1"/>
    <col min="6" max="6" width="25.5546875" customWidth="1"/>
    <col min="7" max="7" width="25.6640625" customWidth="1"/>
    <col min="8" max="8" width="29.33203125" customWidth="1"/>
    <col min="10" max="10" width="19.33203125" customWidth="1"/>
    <col min="11" max="11" width="21.5546875" customWidth="1"/>
    <col min="12" max="12" width="20.88671875" customWidth="1"/>
  </cols>
  <sheetData>
    <row r="1" spans="1:12" x14ac:dyDescent="0.3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</row>
    <row r="2" spans="1:12" x14ac:dyDescent="0.3">
      <c r="A2" s="1">
        <v>46035</v>
      </c>
      <c r="B2" t="s">
        <v>8</v>
      </c>
      <c r="C2">
        <v>2</v>
      </c>
      <c r="D2">
        <v>50</v>
      </c>
      <c r="E2">
        <v>119</v>
      </c>
      <c r="F2">
        <f t="shared" ref="F2:F27" si="0">C2*D2</f>
        <v>100</v>
      </c>
      <c r="G2">
        <f t="shared" ref="G2:G35" si="1">E2/F2</f>
        <v>1.19</v>
      </c>
      <c r="J2" t="s">
        <v>28</v>
      </c>
      <c r="K2" t="s">
        <v>29</v>
      </c>
      <c r="L2" t="s">
        <v>27</v>
      </c>
    </row>
    <row r="3" spans="1:12" x14ac:dyDescent="0.3">
      <c r="A3" s="1">
        <v>46035</v>
      </c>
      <c r="B3" t="s">
        <v>10</v>
      </c>
      <c r="C3">
        <v>1</v>
      </c>
      <c r="D3">
        <v>95</v>
      </c>
      <c r="E3">
        <v>40</v>
      </c>
      <c r="F3">
        <f t="shared" si="0"/>
        <v>95</v>
      </c>
      <c r="G3">
        <f t="shared" si="1"/>
        <v>0.42105263157894735</v>
      </c>
      <c r="J3" t="s">
        <v>30</v>
      </c>
      <c r="K3">
        <v>36</v>
      </c>
      <c r="L3">
        <f>SUM(E21, K3)</f>
        <v>76</v>
      </c>
    </row>
    <row r="4" spans="1:12" x14ac:dyDescent="0.3">
      <c r="A4" s="1">
        <v>46035</v>
      </c>
      <c r="B4" t="s">
        <v>11</v>
      </c>
      <c r="C4">
        <v>2</v>
      </c>
      <c r="D4">
        <v>95</v>
      </c>
      <c r="E4">
        <v>80</v>
      </c>
      <c r="F4">
        <f t="shared" si="0"/>
        <v>190</v>
      </c>
      <c r="G4">
        <f t="shared" si="1"/>
        <v>0.42105263157894735</v>
      </c>
      <c r="J4" t="s">
        <v>31</v>
      </c>
      <c r="K4">
        <v>80</v>
      </c>
      <c r="L4">
        <f>SUM(E22, K4)</f>
        <v>176</v>
      </c>
    </row>
    <row r="5" spans="1:12" x14ac:dyDescent="0.3">
      <c r="A5" s="1">
        <v>46035</v>
      </c>
      <c r="B5" t="s">
        <v>9</v>
      </c>
      <c r="C5">
        <v>2</v>
      </c>
      <c r="D5">
        <v>95</v>
      </c>
      <c r="E5">
        <v>80</v>
      </c>
      <c r="F5">
        <f t="shared" si="0"/>
        <v>190</v>
      </c>
      <c r="G5">
        <f t="shared" si="1"/>
        <v>0.42105263157894735</v>
      </c>
      <c r="J5" t="s">
        <v>32</v>
      </c>
      <c r="K5">
        <v>166</v>
      </c>
      <c r="L5" t="e">
        <f>SUM(#REF!, K5)</f>
        <v>#REF!</v>
      </c>
    </row>
    <row r="6" spans="1:12" x14ac:dyDescent="0.3">
      <c r="A6" s="1">
        <v>46035</v>
      </c>
      <c r="B6" t="s">
        <v>12</v>
      </c>
      <c r="C6">
        <v>1</v>
      </c>
      <c r="D6">
        <v>95</v>
      </c>
      <c r="E6">
        <v>40</v>
      </c>
      <c r="F6">
        <f t="shared" si="0"/>
        <v>95</v>
      </c>
      <c r="G6">
        <f t="shared" si="1"/>
        <v>0.42105263157894735</v>
      </c>
      <c r="J6" t="s">
        <v>91</v>
      </c>
      <c r="K6">
        <v>0</v>
      </c>
      <c r="L6">
        <f>SUM(E25, K6)</f>
        <v>70</v>
      </c>
    </row>
    <row r="7" spans="1:12" x14ac:dyDescent="0.3">
      <c r="A7" s="1">
        <v>46035</v>
      </c>
      <c r="B7" t="s">
        <v>13</v>
      </c>
      <c r="C7">
        <v>1</v>
      </c>
      <c r="D7">
        <v>95</v>
      </c>
      <c r="E7">
        <v>40</v>
      </c>
      <c r="F7">
        <f t="shared" si="0"/>
        <v>95</v>
      </c>
      <c r="G7">
        <f t="shared" si="1"/>
        <v>0.42105263157894735</v>
      </c>
      <c r="J7" t="s">
        <v>93</v>
      </c>
      <c r="K7">
        <v>60</v>
      </c>
      <c r="L7">
        <f>SUM(E25, K7)</f>
        <v>130</v>
      </c>
    </row>
    <row r="8" spans="1:12" x14ac:dyDescent="0.3">
      <c r="A8" s="1">
        <v>46035</v>
      </c>
      <c r="B8" t="s">
        <v>14</v>
      </c>
      <c r="C8">
        <v>1</v>
      </c>
      <c r="D8">
        <v>95</v>
      </c>
      <c r="E8">
        <v>40</v>
      </c>
      <c r="F8">
        <f t="shared" si="0"/>
        <v>95</v>
      </c>
      <c r="G8">
        <f t="shared" si="1"/>
        <v>0.42105263157894735</v>
      </c>
      <c r="J8" t="s">
        <v>33</v>
      </c>
      <c r="K8" t="b" cm="1">
        <f t="array" ref="K8">Table4[Shipping total]=SUM(K3:K5)</f>
        <v>1</v>
      </c>
      <c r="L8" s="2">
        <f>SUM(E27, K8)</f>
        <v>140</v>
      </c>
    </row>
    <row r="9" spans="1:12" x14ac:dyDescent="0.3">
      <c r="A9" s="1">
        <v>46035</v>
      </c>
      <c r="B9" t="s">
        <v>15</v>
      </c>
      <c r="C9">
        <v>2</v>
      </c>
      <c r="D9">
        <v>95</v>
      </c>
      <c r="E9">
        <v>80</v>
      </c>
      <c r="F9">
        <f t="shared" si="0"/>
        <v>190</v>
      </c>
      <c r="G9">
        <f t="shared" si="1"/>
        <v>0.42105263157894735</v>
      </c>
    </row>
    <row r="10" spans="1:12" x14ac:dyDescent="0.3">
      <c r="A10" s="1">
        <v>46035</v>
      </c>
      <c r="B10" t="s">
        <v>16</v>
      </c>
      <c r="C10">
        <v>1</v>
      </c>
      <c r="D10">
        <v>95</v>
      </c>
      <c r="E10">
        <v>40</v>
      </c>
      <c r="F10">
        <f t="shared" si="0"/>
        <v>95</v>
      </c>
      <c r="G10">
        <f t="shared" si="1"/>
        <v>0.42105263157894735</v>
      </c>
    </row>
    <row r="11" spans="1:12" x14ac:dyDescent="0.3">
      <c r="A11" s="1">
        <v>46035</v>
      </c>
      <c r="B11" t="s">
        <v>17</v>
      </c>
      <c r="C11">
        <v>1</v>
      </c>
      <c r="D11">
        <v>95</v>
      </c>
      <c r="E11">
        <v>40</v>
      </c>
      <c r="F11">
        <f t="shared" si="0"/>
        <v>95</v>
      </c>
      <c r="G11">
        <f t="shared" si="1"/>
        <v>0.42105263157894735</v>
      </c>
    </row>
    <row r="12" spans="1:12" x14ac:dyDescent="0.3">
      <c r="A12" s="1">
        <v>46035</v>
      </c>
      <c r="B12" t="s">
        <v>18</v>
      </c>
      <c r="C12">
        <v>1</v>
      </c>
      <c r="D12">
        <v>5</v>
      </c>
      <c r="E12">
        <v>49</v>
      </c>
      <c r="F12">
        <f t="shared" si="0"/>
        <v>5</v>
      </c>
      <c r="G12">
        <f t="shared" si="1"/>
        <v>9.8000000000000007</v>
      </c>
    </row>
    <row r="13" spans="1:12" x14ac:dyDescent="0.3">
      <c r="A13" s="1">
        <v>46035</v>
      </c>
      <c r="B13" t="s">
        <v>20</v>
      </c>
      <c r="C13">
        <v>2</v>
      </c>
      <c r="D13">
        <v>1</v>
      </c>
      <c r="E13">
        <v>24</v>
      </c>
      <c r="F13">
        <f t="shared" si="0"/>
        <v>2</v>
      </c>
      <c r="G13">
        <f t="shared" si="1"/>
        <v>12</v>
      </c>
    </row>
    <row r="14" spans="1:12" x14ac:dyDescent="0.3">
      <c r="A14" s="1">
        <v>46035</v>
      </c>
      <c r="B14" t="s">
        <v>21</v>
      </c>
      <c r="C14">
        <v>1</v>
      </c>
      <c r="D14">
        <v>1</v>
      </c>
      <c r="E14">
        <v>24</v>
      </c>
      <c r="F14">
        <f t="shared" si="0"/>
        <v>1</v>
      </c>
      <c r="G14">
        <f t="shared" si="1"/>
        <v>24</v>
      </c>
    </row>
    <row r="15" spans="1:12" x14ac:dyDescent="0.3">
      <c r="A15" s="1">
        <v>46035</v>
      </c>
      <c r="B15" t="s">
        <v>19</v>
      </c>
      <c r="C15">
        <v>1</v>
      </c>
      <c r="D15">
        <v>1</v>
      </c>
      <c r="E15">
        <v>28</v>
      </c>
      <c r="F15">
        <f t="shared" si="0"/>
        <v>1</v>
      </c>
      <c r="G15">
        <f t="shared" si="1"/>
        <v>28</v>
      </c>
    </row>
    <row r="16" spans="1:12" x14ac:dyDescent="0.3">
      <c r="A16" s="1">
        <v>46035</v>
      </c>
      <c r="B16" t="s">
        <v>24</v>
      </c>
      <c r="C16">
        <v>1</v>
      </c>
      <c r="D16">
        <v>20</v>
      </c>
      <c r="E16">
        <v>57</v>
      </c>
      <c r="F16">
        <f t="shared" si="0"/>
        <v>20</v>
      </c>
      <c r="G16">
        <f t="shared" si="1"/>
        <v>2.85</v>
      </c>
    </row>
    <row r="17" spans="1:12" x14ac:dyDescent="0.3">
      <c r="A17" s="1">
        <v>46035</v>
      </c>
      <c r="B17" t="s">
        <v>22</v>
      </c>
      <c r="C17">
        <v>2</v>
      </c>
      <c r="D17">
        <v>20</v>
      </c>
      <c r="E17">
        <v>56</v>
      </c>
      <c r="F17">
        <f t="shared" si="0"/>
        <v>40</v>
      </c>
      <c r="G17">
        <f t="shared" si="1"/>
        <v>1.4</v>
      </c>
    </row>
    <row r="18" spans="1:12" x14ac:dyDescent="0.3">
      <c r="A18" s="1">
        <v>46035</v>
      </c>
      <c r="B18" t="s">
        <v>23</v>
      </c>
      <c r="C18">
        <v>1</v>
      </c>
      <c r="D18">
        <v>20</v>
      </c>
      <c r="E18">
        <v>56</v>
      </c>
      <c r="F18">
        <f t="shared" si="0"/>
        <v>20</v>
      </c>
      <c r="G18">
        <f t="shared" si="1"/>
        <v>2.8</v>
      </c>
    </row>
    <row r="19" spans="1:12" x14ac:dyDescent="0.3">
      <c r="A19" s="1">
        <v>46035</v>
      </c>
      <c r="B19" t="s">
        <v>25</v>
      </c>
      <c r="C19">
        <v>1</v>
      </c>
      <c r="D19">
        <v>1</v>
      </c>
      <c r="E19">
        <v>57</v>
      </c>
      <c r="F19">
        <f t="shared" si="0"/>
        <v>1</v>
      </c>
      <c r="G19">
        <f t="shared" si="1"/>
        <v>57</v>
      </c>
    </row>
    <row r="20" spans="1:12" x14ac:dyDescent="0.3">
      <c r="A20" s="1">
        <v>46035</v>
      </c>
      <c r="B20" t="s">
        <v>26</v>
      </c>
      <c r="C20">
        <v>1</v>
      </c>
      <c r="D20">
        <v>1</v>
      </c>
      <c r="E20">
        <v>38</v>
      </c>
      <c r="F20">
        <f t="shared" si="0"/>
        <v>1</v>
      </c>
      <c r="G20">
        <f t="shared" si="1"/>
        <v>38</v>
      </c>
    </row>
    <row r="21" spans="1:12" x14ac:dyDescent="0.3">
      <c r="A21" s="1">
        <v>46035</v>
      </c>
      <c r="B21" t="s">
        <v>34</v>
      </c>
      <c r="C21">
        <v>2</v>
      </c>
      <c r="D21">
        <v>1</v>
      </c>
      <c r="E21">
        <v>40</v>
      </c>
      <c r="F21">
        <f t="shared" si="0"/>
        <v>2</v>
      </c>
      <c r="G21">
        <f t="shared" si="1"/>
        <v>20</v>
      </c>
    </row>
    <row r="22" spans="1:12" x14ac:dyDescent="0.3">
      <c r="A22" s="1">
        <v>46035</v>
      </c>
      <c r="B22" t="s">
        <v>35</v>
      </c>
      <c r="C22">
        <v>6</v>
      </c>
      <c r="D22">
        <v>3</v>
      </c>
      <c r="E22">
        <v>96</v>
      </c>
      <c r="F22">
        <f t="shared" si="0"/>
        <v>18</v>
      </c>
      <c r="G22">
        <f t="shared" si="1"/>
        <v>5.333333333333333</v>
      </c>
    </row>
    <row r="23" spans="1:12" x14ac:dyDescent="0.3">
      <c r="A23" s="1">
        <v>46041</v>
      </c>
      <c r="B23" t="s">
        <v>88</v>
      </c>
      <c r="C23">
        <v>1</v>
      </c>
      <c r="D23">
        <v>30</v>
      </c>
      <c r="E23">
        <v>109</v>
      </c>
      <c r="F23">
        <f t="shared" si="0"/>
        <v>30</v>
      </c>
      <c r="G23">
        <f t="shared" si="1"/>
        <v>3.6333333333333333</v>
      </c>
    </row>
    <row r="24" spans="1:12" x14ac:dyDescent="0.3">
      <c r="B24" t="s">
        <v>92</v>
      </c>
      <c r="C24">
        <v>1</v>
      </c>
      <c r="D24">
        <v>1</v>
      </c>
      <c r="E24">
        <v>45</v>
      </c>
      <c r="F24">
        <f t="shared" si="0"/>
        <v>1</v>
      </c>
      <c r="G24">
        <f t="shared" si="1"/>
        <v>45</v>
      </c>
    </row>
    <row r="25" spans="1:12" x14ac:dyDescent="0.3">
      <c r="B25" t="s">
        <v>89</v>
      </c>
      <c r="C25">
        <v>1</v>
      </c>
      <c r="D25">
        <v>390</v>
      </c>
      <c r="E25">
        <v>70</v>
      </c>
      <c r="F25">
        <f t="shared" si="0"/>
        <v>390</v>
      </c>
      <c r="G25">
        <f t="shared" si="1"/>
        <v>0.17948717948717949</v>
      </c>
    </row>
    <row r="26" spans="1:12" x14ac:dyDescent="0.3">
      <c r="B26" t="s">
        <v>90</v>
      </c>
      <c r="C26">
        <v>1</v>
      </c>
      <c r="D26">
        <v>100</v>
      </c>
      <c r="E26">
        <v>70</v>
      </c>
      <c r="F26">
        <f t="shared" si="0"/>
        <v>100</v>
      </c>
      <c r="G26">
        <f t="shared" si="1"/>
        <v>0.7</v>
      </c>
    </row>
    <row r="27" spans="1:12" x14ac:dyDescent="0.3">
      <c r="B27" t="s">
        <v>104</v>
      </c>
      <c r="C27">
        <v>1</v>
      </c>
      <c r="D27">
        <v>10</v>
      </c>
      <c r="E27">
        <v>140</v>
      </c>
      <c r="F27">
        <f t="shared" si="0"/>
        <v>10</v>
      </c>
      <c r="G27">
        <f t="shared" si="1"/>
        <v>14</v>
      </c>
      <c r="J27" t="s">
        <v>94</v>
      </c>
      <c r="K27" t="s">
        <v>95</v>
      </c>
      <c r="L27" t="s">
        <v>33</v>
      </c>
    </row>
    <row r="28" spans="1:12" x14ac:dyDescent="0.3">
      <c r="B28" t="s">
        <v>113</v>
      </c>
      <c r="C28">
        <v>1</v>
      </c>
      <c r="D28">
        <v>1</v>
      </c>
      <c r="E28">
        <v>64</v>
      </c>
      <c r="F28">
        <f>C28*D28</f>
        <v>1</v>
      </c>
      <c r="G28">
        <f t="shared" si="1"/>
        <v>64</v>
      </c>
      <c r="J28">
        <f>SUM(K3:K5)</f>
        <v>282</v>
      </c>
      <c r="K28">
        <f>SUM(E1:E36)</f>
        <v>2064</v>
      </c>
      <c r="L28">
        <f>SUM(J28, K28)</f>
        <v>2346</v>
      </c>
    </row>
    <row r="29" spans="1:12" x14ac:dyDescent="0.3">
      <c r="A29" s="1">
        <v>46056</v>
      </c>
      <c r="B29" t="s">
        <v>10</v>
      </c>
      <c r="C29">
        <v>2</v>
      </c>
      <c r="D29">
        <v>100</v>
      </c>
      <c r="E29">
        <v>68</v>
      </c>
      <c r="F29">
        <f>C29*D29</f>
        <v>200</v>
      </c>
      <c r="G29">
        <f t="shared" si="1"/>
        <v>0.34</v>
      </c>
    </row>
    <row r="30" spans="1:12" x14ac:dyDescent="0.3">
      <c r="B30" t="s">
        <v>137</v>
      </c>
      <c r="C30">
        <v>1</v>
      </c>
      <c r="D30">
        <v>100</v>
      </c>
      <c r="E30">
        <v>34</v>
      </c>
      <c r="F30">
        <v>100</v>
      </c>
      <c r="G30">
        <f t="shared" si="1"/>
        <v>0.34</v>
      </c>
    </row>
    <row r="31" spans="1:12" x14ac:dyDescent="0.3">
      <c r="B31" t="s">
        <v>11</v>
      </c>
      <c r="C31">
        <v>2</v>
      </c>
      <c r="D31">
        <v>100</v>
      </c>
      <c r="E31">
        <v>68</v>
      </c>
      <c r="F31">
        <f t="shared" ref="F31:F36" si="2">C31*D31</f>
        <v>200</v>
      </c>
      <c r="G31">
        <f t="shared" si="1"/>
        <v>0.34</v>
      </c>
    </row>
    <row r="32" spans="1:12" x14ac:dyDescent="0.3">
      <c r="B32" t="s">
        <v>9</v>
      </c>
      <c r="C32">
        <v>2</v>
      </c>
      <c r="D32">
        <v>100</v>
      </c>
      <c r="E32">
        <v>68</v>
      </c>
      <c r="F32">
        <f t="shared" si="2"/>
        <v>200</v>
      </c>
      <c r="G32">
        <f t="shared" si="1"/>
        <v>0.34</v>
      </c>
    </row>
    <row r="33" spans="2:11" x14ac:dyDescent="0.3">
      <c r="B33" t="s">
        <v>138</v>
      </c>
      <c r="C33">
        <v>2</v>
      </c>
      <c r="D33">
        <v>100</v>
      </c>
      <c r="E33">
        <v>68</v>
      </c>
      <c r="F33">
        <f t="shared" si="2"/>
        <v>200</v>
      </c>
      <c r="G33">
        <f t="shared" si="1"/>
        <v>0.34</v>
      </c>
      <c r="J33" t="s">
        <v>140</v>
      </c>
      <c r="K33">
        <f>SUM(E1:E40)</f>
        <v>2064</v>
      </c>
    </row>
    <row r="34" spans="2:11" x14ac:dyDescent="0.3">
      <c r="B34" t="s">
        <v>139</v>
      </c>
      <c r="C34">
        <v>2</v>
      </c>
      <c r="D34">
        <v>100</v>
      </c>
      <c r="E34">
        <v>68</v>
      </c>
      <c r="F34">
        <f t="shared" si="2"/>
        <v>200</v>
      </c>
      <c r="G34">
        <f>E34/F34</f>
        <v>0.34</v>
      </c>
    </row>
    <row r="35" spans="2:11" x14ac:dyDescent="0.3">
      <c r="B35" t="s">
        <v>16</v>
      </c>
      <c r="C35">
        <v>2</v>
      </c>
      <c r="D35">
        <v>100</v>
      </c>
      <c r="E35">
        <v>68</v>
      </c>
      <c r="F35">
        <f t="shared" si="2"/>
        <v>200</v>
      </c>
      <c r="G35">
        <f t="shared" si="1"/>
        <v>0.34</v>
      </c>
    </row>
    <row r="36" spans="2:11" x14ac:dyDescent="0.3">
      <c r="F36">
        <f t="shared" si="2"/>
        <v>0</v>
      </c>
      <c r="G36" t="e">
        <f>E36/F36</f>
        <v>#DIV/0!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BouQuet Costing</vt:lpstr>
      <vt:lpstr>Sales Report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Dheyn Michael Orlanda</dc:creator>
  <cp:lastModifiedBy>Dheyn Michael Orlanda</cp:lastModifiedBy>
  <dcterms:created xsi:type="dcterms:W3CDTF">2026-01-11T13:12:05Z</dcterms:created>
  <dcterms:modified xsi:type="dcterms:W3CDTF">2026-02-22T16:17:32Z</dcterms:modified>
</cp:coreProperties>
</file>